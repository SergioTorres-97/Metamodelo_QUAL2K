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estria\Proyecto_de_grado\PYQ2K\resultados\t_rio_jordan_sensibilidad\"/>
    </mc:Choice>
  </mc:AlternateContent>
  <xr:revisionPtr revIDLastSave="0" documentId="13_ncr:1_{7295EF39-96D2-469D-AD59-C8E70D44A4ED}" xr6:coauthVersionLast="47" xr6:coauthVersionMax="47" xr10:uidLastSave="{00000000-0000-0000-0000-000000000000}"/>
  <bookViews>
    <workbookView xWindow="-108" yWindow="-108" windowWidth="23256" windowHeight="12456" xr2:uid="{B6AB0F22-ED88-470B-AEEC-1EF2137A4639}"/>
  </bookViews>
  <sheets>
    <sheet name="srcc_espacial_carbonaceous_bod_" sheetId="1" r:id="rId1"/>
    <sheet name="Hoja1" sheetId="2" r:id="rId2"/>
  </sheets>
  <definedNames>
    <definedName name="_xlnm._FilterDatabase" localSheetId="1" hidden="1">Hoja1!$A$1:$B$37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78" i="1" l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78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40" i="1"/>
  <c r="BD78" i="1" l="1"/>
  <c r="BE78" i="1" s="1"/>
  <c r="BD110" i="1"/>
  <c r="BE110" i="1" s="1"/>
  <c r="BD106" i="1"/>
  <c r="BE106" i="1" s="1"/>
  <c r="BD105" i="1"/>
  <c r="BE105" i="1" s="1"/>
  <c r="BD109" i="1"/>
  <c r="BE109" i="1" s="1"/>
  <c r="BD96" i="1"/>
  <c r="BE96" i="1" s="1"/>
  <c r="BD112" i="1"/>
  <c r="BE112" i="1" s="1"/>
  <c r="BD113" i="1"/>
  <c r="BE113" i="1" s="1"/>
  <c r="BD108" i="1"/>
  <c r="BE108" i="1" s="1"/>
  <c r="BD111" i="1"/>
  <c r="BE111" i="1" s="1"/>
  <c r="BD107" i="1"/>
  <c r="BE107" i="1" s="1"/>
  <c r="BD103" i="1"/>
  <c r="BE103" i="1" s="1"/>
  <c r="BD99" i="1"/>
  <c r="BE99" i="1" s="1"/>
  <c r="BD91" i="1"/>
  <c r="BE91" i="1" s="1"/>
  <c r="BD95" i="1"/>
  <c r="BE95" i="1" s="1"/>
  <c r="BD87" i="1"/>
  <c r="BE87" i="1" s="1"/>
  <c r="BD83" i="1"/>
  <c r="BE83" i="1" s="1"/>
  <c r="BD79" i="1"/>
  <c r="BE79" i="1" s="1"/>
  <c r="BD102" i="1"/>
  <c r="BE102" i="1" s="1"/>
  <c r="BD98" i="1"/>
  <c r="BE98" i="1" s="1"/>
  <c r="BD94" i="1"/>
  <c r="BE94" i="1" s="1"/>
  <c r="BD90" i="1"/>
  <c r="BE90" i="1" s="1"/>
  <c r="BD86" i="1"/>
  <c r="BE86" i="1" s="1"/>
  <c r="BD82" i="1"/>
  <c r="BE82" i="1" s="1"/>
  <c r="BD101" i="1"/>
  <c r="BE101" i="1" s="1"/>
  <c r="BD97" i="1"/>
  <c r="BE97" i="1" s="1"/>
  <c r="BD93" i="1"/>
  <c r="BE93" i="1" s="1"/>
  <c r="BD89" i="1"/>
  <c r="BE89" i="1" s="1"/>
  <c r="BD85" i="1"/>
  <c r="BE85" i="1" s="1"/>
  <c r="BD81" i="1"/>
  <c r="BE81" i="1" s="1"/>
  <c r="BD104" i="1"/>
  <c r="BE104" i="1" s="1"/>
  <c r="BD100" i="1"/>
  <c r="BE100" i="1" s="1"/>
  <c r="BD92" i="1"/>
  <c r="BE92" i="1" s="1"/>
  <c r="BD88" i="1"/>
  <c r="BE88" i="1" s="1"/>
  <c r="BD84" i="1"/>
  <c r="BE84" i="1" s="1"/>
  <c r="BD80" i="1"/>
  <c r="BE80" i="1" s="1"/>
  <c r="BG78" i="1" l="1"/>
</calcChain>
</file>

<file path=xl/sharedStrings.xml><?xml version="1.0" encoding="utf-8"?>
<sst xmlns="http://schemas.openxmlformats.org/spreadsheetml/2006/main" count="187" uniqueCount="39">
  <si>
    <t>parametro</t>
  </si>
  <si>
    <t>alpha_1</t>
  </si>
  <si>
    <t>beta_1</t>
  </si>
  <si>
    <t>alpha_2</t>
  </si>
  <si>
    <t>beta_2</t>
  </si>
  <si>
    <t>kaaa</t>
  </si>
  <si>
    <t>kdc</t>
  </si>
  <si>
    <t>kn</t>
  </si>
  <si>
    <t>khp</t>
  </si>
  <si>
    <t>kdt</t>
  </si>
  <si>
    <t>caudal_bypass</t>
  </si>
  <si>
    <t>dbo5_bypass</t>
  </si>
  <si>
    <t>od_bypass</t>
  </si>
  <si>
    <t>temp_bypass</t>
  </si>
  <si>
    <t>caudal_veolia</t>
  </si>
  <si>
    <t>dbo5_veolia</t>
  </si>
  <si>
    <t>od_veolia</t>
  </si>
  <si>
    <t>dbo5_urbaser</t>
  </si>
  <si>
    <t>od_urbaser</t>
  </si>
  <si>
    <t>temp_urbaser</t>
  </si>
  <si>
    <t>caudal_la_vega</t>
  </si>
  <si>
    <t>dbo5_la_vega</t>
  </si>
  <si>
    <t>od_la_vega</t>
  </si>
  <si>
    <t>temp_la_vega</t>
  </si>
  <si>
    <t>caudal_honda</t>
  </si>
  <si>
    <t>dbo5_honda</t>
  </si>
  <si>
    <t>od_honda</t>
  </si>
  <si>
    <t>temp_honda</t>
  </si>
  <si>
    <t>caudal_piedras</t>
  </si>
  <si>
    <t>dbo5_piedras</t>
  </si>
  <si>
    <t>od_piedras</t>
  </si>
  <si>
    <t>temp_piedras</t>
  </si>
  <si>
    <t>caudal_cabecera</t>
  </si>
  <si>
    <t>dbo5_cabecera</t>
  </si>
  <si>
    <t>od_cabecera</t>
  </si>
  <si>
    <t>temp_cabecera</t>
  </si>
  <si>
    <t>pH_cabecera</t>
  </si>
  <si>
    <t>CRITERIO</t>
  </si>
  <si>
    <t>Representativo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</si>
</sst>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D3D79-7F41-4868-9669-030F993FA413}">
  <dimension ref="A1:BG113"/>
  <sheetViews>
    <sheetView tabSelected="1" topLeftCell="AQ70" workbookViewId="0">
      <selection activeCell="BE74" sqref="BE74"/>
    </sheetView>
  </sheetViews>
  <sheetFormatPr baseColWidth="10" defaultRowHeight="14.4" x14ac:dyDescent="0.3"/>
  <sheetData>
    <row r="1" spans="1:53" x14ac:dyDescent="0.3">
      <c r="A1" t="s">
        <v>0</v>
      </c>
      <c r="B1">
        <v>0</v>
      </c>
      <c r="C1">
        <v>0.34560000000000002</v>
      </c>
      <c r="D1">
        <v>1.0367999999999999</v>
      </c>
      <c r="E1">
        <v>1.728</v>
      </c>
      <c r="F1">
        <v>2.4192</v>
      </c>
      <c r="G1">
        <v>3.1103999999999998</v>
      </c>
      <c r="H1">
        <v>3.8016000000000001</v>
      </c>
      <c r="I1">
        <v>4.4927999999999999</v>
      </c>
      <c r="J1">
        <v>5.1840000000000002</v>
      </c>
      <c r="K1">
        <v>5.8752000000000004</v>
      </c>
      <c r="L1">
        <v>6.5663999999999998</v>
      </c>
      <c r="M1">
        <v>7.2576000000000001</v>
      </c>
      <c r="N1">
        <v>7.9488000000000003</v>
      </c>
      <c r="O1">
        <v>8.64</v>
      </c>
      <c r="P1">
        <v>9.3312000000000008</v>
      </c>
      <c r="Q1">
        <v>10.022399999999999</v>
      </c>
      <c r="R1">
        <v>10.7136</v>
      </c>
      <c r="S1">
        <v>11.4048</v>
      </c>
      <c r="T1">
        <v>12.096</v>
      </c>
      <c r="U1">
        <v>12.7872</v>
      </c>
      <c r="V1">
        <v>13.478400000000001</v>
      </c>
      <c r="W1">
        <v>14.169600000000001</v>
      </c>
      <c r="X1">
        <v>14.860799999999999</v>
      </c>
      <c r="Y1">
        <v>15.552</v>
      </c>
      <c r="Z1">
        <v>16.243200000000002</v>
      </c>
      <c r="AA1">
        <v>16.9344</v>
      </c>
      <c r="AB1">
        <v>17.625599999999999</v>
      </c>
      <c r="AC1">
        <v>18.316800000000001</v>
      </c>
      <c r="AD1">
        <v>19.007999999999999</v>
      </c>
      <c r="AE1">
        <v>19.699200000000001</v>
      </c>
      <c r="AF1">
        <v>20.3904</v>
      </c>
      <c r="AG1">
        <v>21.081600000000002</v>
      </c>
      <c r="AH1">
        <v>21.7728</v>
      </c>
      <c r="AI1">
        <v>22.463999999999999</v>
      </c>
      <c r="AJ1">
        <v>23.155200000000001</v>
      </c>
      <c r="AK1">
        <v>23.846399999999999</v>
      </c>
      <c r="AL1">
        <v>24.537600000000001</v>
      </c>
      <c r="AM1">
        <v>25.2288</v>
      </c>
      <c r="AN1">
        <v>25.92</v>
      </c>
      <c r="AO1">
        <v>26.6112</v>
      </c>
      <c r="AP1">
        <v>27.302399999999999</v>
      </c>
      <c r="AQ1">
        <v>27.993600000000001</v>
      </c>
      <c r="AR1">
        <v>28.684799999999999</v>
      </c>
      <c r="AS1">
        <v>29.376000000000001</v>
      </c>
      <c r="AT1">
        <v>30.0672</v>
      </c>
      <c r="AU1">
        <v>30.758400000000002</v>
      </c>
      <c r="AV1">
        <v>31.4496</v>
      </c>
      <c r="AW1">
        <v>32.140799999999999</v>
      </c>
      <c r="AX1">
        <v>32.832000000000001</v>
      </c>
      <c r="AY1">
        <v>33.523200000000003</v>
      </c>
      <c r="AZ1">
        <v>34.214399999999998</v>
      </c>
      <c r="BA1">
        <v>34.56</v>
      </c>
    </row>
    <row r="2" spans="1:53" x14ac:dyDescent="0.3">
      <c r="A2" t="s">
        <v>1</v>
      </c>
      <c r="B2">
        <v>0.2099</v>
      </c>
      <c r="C2">
        <v>0.2099</v>
      </c>
      <c r="D2">
        <v>0.20150000000000001</v>
      </c>
      <c r="E2">
        <v>0.19159999999999999</v>
      </c>
      <c r="F2">
        <v>0.2011</v>
      </c>
      <c r="G2">
        <v>0.192</v>
      </c>
      <c r="H2">
        <v>0.1802</v>
      </c>
      <c r="I2">
        <v>0.1686</v>
      </c>
      <c r="J2">
        <v>0.1555</v>
      </c>
      <c r="K2">
        <v>0.14219999999999999</v>
      </c>
      <c r="L2">
        <v>0.16589999999999999</v>
      </c>
      <c r="M2">
        <v>0.14979999999999999</v>
      </c>
      <c r="N2">
        <v>0.13120000000000001</v>
      </c>
      <c r="O2">
        <v>0.1118</v>
      </c>
      <c r="P2">
        <v>9.3700000000000006E-2</v>
      </c>
      <c r="Q2">
        <v>7.8899999999999998E-2</v>
      </c>
      <c r="R2">
        <v>6.5500000000000003E-2</v>
      </c>
      <c r="S2">
        <v>5.3800000000000001E-2</v>
      </c>
      <c r="T2">
        <v>4.3700000000000003E-2</v>
      </c>
      <c r="U2">
        <v>3.5000000000000003E-2</v>
      </c>
      <c r="V2">
        <v>2.7799999999999998E-2</v>
      </c>
      <c r="W2">
        <v>2.1100000000000001E-2</v>
      </c>
      <c r="X2">
        <v>1.52E-2</v>
      </c>
      <c r="Y2">
        <v>9.7000000000000003E-3</v>
      </c>
      <c r="Z2">
        <v>4.1000000000000003E-3</v>
      </c>
      <c r="AA2">
        <v>6.9999999999999999E-4</v>
      </c>
      <c r="AB2">
        <v>-2.2000000000000001E-3</v>
      </c>
      <c r="AC2">
        <v>-4.4000000000000003E-3</v>
      </c>
      <c r="AD2">
        <v>7.0400000000000004E-2</v>
      </c>
      <c r="AE2">
        <v>0.48749999999999999</v>
      </c>
      <c r="AF2">
        <v>0.4844</v>
      </c>
      <c r="AG2">
        <v>0.48170000000000002</v>
      </c>
      <c r="AH2">
        <v>0.47720000000000001</v>
      </c>
      <c r="AI2">
        <v>0.4718</v>
      </c>
      <c r="AJ2">
        <v>0.46550000000000002</v>
      </c>
      <c r="AK2">
        <v>0.45729999999999998</v>
      </c>
      <c r="AL2">
        <v>0.4471</v>
      </c>
      <c r="AM2">
        <v>0.43459999999999999</v>
      </c>
      <c r="AN2">
        <v>0.41710000000000003</v>
      </c>
      <c r="AO2">
        <v>0.39450000000000002</v>
      </c>
      <c r="AP2">
        <v>0.36259999999999998</v>
      </c>
      <c r="AQ2">
        <v>0.31879999999999997</v>
      </c>
      <c r="AR2">
        <v>0.26</v>
      </c>
      <c r="AS2">
        <v>0.17929999999999999</v>
      </c>
      <c r="AT2">
        <v>0.41199999999999998</v>
      </c>
      <c r="AU2">
        <v>0.4234</v>
      </c>
      <c r="AV2">
        <v>0.42799999999999999</v>
      </c>
      <c r="AW2">
        <v>0.42309999999999998</v>
      </c>
      <c r="AX2">
        <v>0.39579999999999999</v>
      </c>
      <c r="AY2">
        <v>0.33700000000000002</v>
      </c>
      <c r="AZ2">
        <v>0.20810000000000001</v>
      </c>
      <c r="BA2">
        <v>-6.7500000000000004E-2</v>
      </c>
    </row>
    <row r="3" spans="1:53" x14ac:dyDescent="0.3">
      <c r="A3" t="s">
        <v>2</v>
      </c>
      <c r="B3">
        <v>2.92E-2</v>
      </c>
      <c r="C3">
        <v>2.92E-2</v>
      </c>
      <c r="D3">
        <v>2.76E-2</v>
      </c>
      <c r="E3">
        <v>2.4299999999999999E-2</v>
      </c>
      <c r="F3">
        <v>-1.6500000000000001E-2</v>
      </c>
      <c r="G3">
        <v>-1.6400000000000001E-2</v>
      </c>
      <c r="H3">
        <v>-1.7000000000000001E-2</v>
      </c>
      <c r="I3">
        <v>-1.7899999999999999E-2</v>
      </c>
      <c r="J3">
        <v>-1.7899999999999999E-2</v>
      </c>
      <c r="K3">
        <v>-1.72E-2</v>
      </c>
      <c r="L3">
        <v>-2.0400000000000001E-2</v>
      </c>
      <c r="M3">
        <v>-2.01E-2</v>
      </c>
      <c r="N3">
        <v>-1.7999999999999999E-2</v>
      </c>
      <c r="O3">
        <v>-1.38E-2</v>
      </c>
      <c r="P3">
        <v>-1.04E-2</v>
      </c>
      <c r="Q3">
        <v>-7.0000000000000001E-3</v>
      </c>
      <c r="R3">
        <v>-3.8E-3</v>
      </c>
      <c r="S3">
        <v>-8.9999999999999998E-4</v>
      </c>
      <c r="T3">
        <v>-2.0000000000000001E-4</v>
      </c>
      <c r="U3">
        <v>8.0000000000000004E-4</v>
      </c>
      <c r="V3">
        <v>5.9999999999999995E-4</v>
      </c>
      <c r="W3">
        <v>1.6000000000000001E-3</v>
      </c>
      <c r="X3">
        <v>1.6000000000000001E-3</v>
      </c>
      <c r="Y3">
        <v>1.4E-3</v>
      </c>
      <c r="Z3">
        <v>5.0000000000000001E-4</v>
      </c>
      <c r="AA3">
        <v>-1E-3</v>
      </c>
      <c r="AB3">
        <v>-2.3999999999999998E-3</v>
      </c>
      <c r="AC3">
        <v>-2.5999999999999999E-3</v>
      </c>
      <c r="AD3">
        <v>9.4100000000000003E-2</v>
      </c>
      <c r="AE3">
        <v>-9.1999999999999998E-2</v>
      </c>
      <c r="AF3">
        <v>-9.2299999999999993E-2</v>
      </c>
      <c r="AG3">
        <v>-9.1800000000000007E-2</v>
      </c>
      <c r="AH3">
        <v>-9.1700000000000004E-2</v>
      </c>
      <c r="AI3">
        <v>-9.1600000000000001E-2</v>
      </c>
      <c r="AJ3">
        <v>-9.1700000000000004E-2</v>
      </c>
      <c r="AK3">
        <v>-9.1200000000000003E-2</v>
      </c>
      <c r="AL3">
        <v>-8.8900000000000007E-2</v>
      </c>
      <c r="AM3">
        <v>-8.72E-2</v>
      </c>
      <c r="AN3">
        <v>-8.7099999999999997E-2</v>
      </c>
      <c r="AO3">
        <v>-8.4400000000000003E-2</v>
      </c>
      <c r="AP3">
        <v>-7.9200000000000007E-2</v>
      </c>
      <c r="AQ3">
        <v>-7.51E-2</v>
      </c>
      <c r="AR3">
        <v>-6.8000000000000005E-2</v>
      </c>
      <c r="AS3">
        <v>-5.4100000000000002E-2</v>
      </c>
      <c r="AT3">
        <v>-0.30309999999999998</v>
      </c>
      <c r="AU3">
        <v>-0.307</v>
      </c>
      <c r="AV3">
        <v>-0.30609999999999998</v>
      </c>
      <c r="AW3">
        <v>-0.30020000000000002</v>
      </c>
      <c r="AX3">
        <v>-0.2767</v>
      </c>
      <c r="AY3">
        <v>-0.23649999999999999</v>
      </c>
      <c r="AZ3">
        <v>-0.15840000000000001</v>
      </c>
      <c r="BA3">
        <v>3.2099999999999997E-2</v>
      </c>
    </row>
    <row r="4" spans="1:53" x14ac:dyDescent="0.3">
      <c r="A4" t="s">
        <v>3</v>
      </c>
      <c r="B4">
        <v>-4.9399999999999999E-2</v>
      </c>
      <c r="C4">
        <v>-4.9399999999999999E-2</v>
      </c>
      <c r="D4">
        <v>-4.9399999999999999E-2</v>
      </c>
      <c r="E4">
        <v>-4.82E-2</v>
      </c>
      <c r="F4">
        <v>3.8E-3</v>
      </c>
      <c r="G4">
        <v>4.8999999999999998E-3</v>
      </c>
      <c r="H4">
        <v>6.0000000000000001E-3</v>
      </c>
      <c r="I4">
        <v>7.6E-3</v>
      </c>
      <c r="J4">
        <v>9.1999999999999998E-3</v>
      </c>
      <c r="K4">
        <v>1.0200000000000001E-2</v>
      </c>
      <c r="L4">
        <v>3.1199999999999999E-2</v>
      </c>
      <c r="M4">
        <v>3.2000000000000001E-2</v>
      </c>
      <c r="N4">
        <v>3.49E-2</v>
      </c>
      <c r="O4">
        <v>3.6400000000000002E-2</v>
      </c>
      <c r="P4">
        <v>3.7499999999999999E-2</v>
      </c>
      <c r="Q4">
        <v>0.04</v>
      </c>
      <c r="R4">
        <v>4.2099999999999999E-2</v>
      </c>
      <c r="S4">
        <v>4.3700000000000003E-2</v>
      </c>
      <c r="T4">
        <v>4.3999999999999997E-2</v>
      </c>
      <c r="U4">
        <v>4.5600000000000002E-2</v>
      </c>
      <c r="V4">
        <v>4.7300000000000002E-2</v>
      </c>
      <c r="W4">
        <v>4.8099999999999997E-2</v>
      </c>
      <c r="X4">
        <v>4.9399999999999999E-2</v>
      </c>
      <c r="Y4">
        <v>5.0200000000000002E-2</v>
      </c>
      <c r="Z4">
        <v>5.1700000000000003E-2</v>
      </c>
      <c r="AA4">
        <v>5.2299999999999999E-2</v>
      </c>
      <c r="AB4">
        <v>5.2900000000000003E-2</v>
      </c>
      <c r="AC4">
        <v>5.2200000000000003E-2</v>
      </c>
      <c r="AD4">
        <v>0.11899999999999999</v>
      </c>
      <c r="AE4">
        <v>-2.0400000000000001E-2</v>
      </c>
      <c r="AF4">
        <v>-2.0199999999999999E-2</v>
      </c>
      <c r="AG4">
        <v>-0.02</v>
      </c>
      <c r="AH4">
        <v>-1.9199999999999998E-2</v>
      </c>
      <c r="AI4">
        <v>-1.9300000000000001E-2</v>
      </c>
      <c r="AJ4">
        <v>-1.6799999999999999E-2</v>
      </c>
      <c r="AK4">
        <v>-1.5900000000000001E-2</v>
      </c>
      <c r="AL4">
        <v>-1.49E-2</v>
      </c>
      <c r="AM4">
        <v>-1.43E-2</v>
      </c>
      <c r="AN4">
        <v>-1.2699999999999999E-2</v>
      </c>
      <c r="AO4">
        <v>-9.1999999999999998E-3</v>
      </c>
      <c r="AP4">
        <v>-4.1000000000000003E-3</v>
      </c>
      <c r="AQ4">
        <v>1.6000000000000001E-3</v>
      </c>
      <c r="AR4">
        <v>6.7999999999999996E-3</v>
      </c>
      <c r="AS4">
        <v>1.8100000000000002E-2</v>
      </c>
      <c r="AT4">
        <v>-1.78E-2</v>
      </c>
      <c r="AU4">
        <v>-1.72E-2</v>
      </c>
      <c r="AV4">
        <v>-1.66E-2</v>
      </c>
      <c r="AW4">
        <v>-1.7100000000000001E-2</v>
      </c>
      <c r="AX4">
        <v>-2.0500000000000001E-2</v>
      </c>
      <c r="AY4">
        <v>-2.63E-2</v>
      </c>
      <c r="AZ4">
        <v>-2.8400000000000002E-2</v>
      </c>
      <c r="BA4">
        <v>-2.6200000000000001E-2</v>
      </c>
    </row>
    <row r="5" spans="1:53" x14ac:dyDescent="0.3">
      <c r="A5" t="s">
        <v>4</v>
      </c>
      <c r="B5">
        <v>8.6499999999999994E-2</v>
      </c>
      <c r="C5">
        <v>8.6499999999999994E-2</v>
      </c>
      <c r="D5">
        <v>8.6999999999999994E-2</v>
      </c>
      <c r="E5">
        <v>8.77E-2</v>
      </c>
      <c r="F5">
        <v>5.9799999999999999E-2</v>
      </c>
      <c r="G5">
        <v>5.9400000000000001E-2</v>
      </c>
      <c r="H5">
        <v>5.8500000000000003E-2</v>
      </c>
      <c r="I5">
        <v>5.8599999999999999E-2</v>
      </c>
      <c r="J5">
        <v>5.74E-2</v>
      </c>
      <c r="K5">
        <v>5.6500000000000002E-2</v>
      </c>
      <c r="L5">
        <v>6.0199999999999997E-2</v>
      </c>
      <c r="M5">
        <v>5.7299999999999997E-2</v>
      </c>
      <c r="N5">
        <v>5.2999999999999999E-2</v>
      </c>
      <c r="O5">
        <v>4.8800000000000003E-2</v>
      </c>
      <c r="P5">
        <v>4.4499999999999998E-2</v>
      </c>
      <c r="Q5">
        <v>0.04</v>
      </c>
      <c r="R5">
        <v>3.7100000000000001E-2</v>
      </c>
      <c r="S5">
        <v>3.44E-2</v>
      </c>
      <c r="T5">
        <v>3.1899999999999998E-2</v>
      </c>
      <c r="U5">
        <v>3.1E-2</v>
      </c>
      <c r="V5">
        <v>2.9700000000000001E-2</v>
      </c>
      <c r="W5">
        <v>2.8500000000000001E-2</v>
      </c>
      <c r="X5">
        <v>2.86E-2</v>
      </c>
      <c r="Y5">
        <v>2.7199999999999998E-2</v>
      </c>
      <c r="Z5">
        <v>2.7900000000000001E-2</v>
      </c>
      <c r="AA5">
        <v>2.8199999999999999E-2</v>
      </c>
      <c r="AB5">
        <v>2.8299999999999999E-2</v>
      </c>
      <c r="AC5">
        <v>2.8899999999999999E-2</v>
      </c>
      <c r="AD5">
        <v>3.5999999999999999E-3</v>
      </c>
      <c r="AE5">
        <v>8.6999999999999994E-2</v>
      </c>
      <c r="AF5">
        <v>8.7400000000000005E-2</v>
      </c>
      <c r="AG5">
        <v>8.7900000000000006E-2</v>
      </c>
      <c r="AH5">
        <v>8.7400000000000005E-2</v>
      </c>
      <c r="AI5">
        <v>8.7800000000000003E-2</v>
      </c>
      <c r="AJ5">
        <v>8.8300000000000003E-2</v>
      </c>
      <c r="AK5">
        <v>8.7499999999999994E-2</v>
      </c>
      <c r="AL5">
        <v>8.6499999999999994E-2</v>
      </c>
      <c r="AM5">
        <v>8.5500000000000007E-2</v>
      </c>
      <c r="AN5">
        <v>8.4400000000000003E-2</v>
      </c>
      <c r="AO5">
        <v>8.1699999999999995E-2</v>
      </c>
      <c r="AP5">
        <v>7.7700000000000005E-2</v>
      </c>
      <c r="AQ5">
        <v>7.5300000000000006E-2</v>
      </c>
      <c r="AR5">
        <v>6.7699999999999996E-2</v>
      </c>
      <c r="AS5">
        <v>5.79E-2</v>
      </c>
      <c r="AT5">
        <v>2.1999999999999999E-2</v>
      </c>
      <c r="AU5">
        <v>2.18E-2</v>
      </c>
      <c r="AV5">
        <v>1.9900000000000001E-2</v>
      </c>
      <c r="AW5">
        <v>1.61E-2</v>
      </c>
      <c r="AX5">
        <v>1.2699999999999999E-2</v>
      </c>
      <c r="AY5">
        <v>6.6E-3</v>
      </c>
      <c r="AZ5">
        <v>-8.3999999999999995E-3</v>
      </c>
      <c r="BA5">
        <v>-2.8400000000000002E-2</v>
      </c>
    </row>
    <row r="6" spans="1:53" x14ac:dyDescent="0.3">
      <c r="A6" t="s">
        <v>5</v>
      </c>
      <c r="B6">
        <v>-0.21060000000000001</v>
      </c>
      <c r="C6">
        <v>-0.21060000000000001</v>
      </c>
      <c r="D6">
        <v>-0.20880000000000001</v>
      </c>
      <c r="E6">
        <v>-0.20649999999999999</v>
      </c>
      <c r="F6">
        <v>-0.18290000000000001</v>
      </c>
      <c r="G6">
        <v>-0.1787</v>
      </c>
      <c r="H6">
        <v>-0.17269999999999999</v>
      </c>
      <c r="I6">
        <v>-0.1663</v>
      </c>
      <c r="J6">
        <v>-0.15920000000000001</v>
      </c>
      <c r="K6">
        <v>-0.15160000000000001</v>
      </c>
      <c r="L6">
        <v>-0.1772</v>
      </c>
      <c r="M6">
        <v>-0.16980000000000001</v>
      </c>
      <c r="N6">
        <v>-0.1636</v>
      </c>
      <c r="O6">
        <v>-0.15740000000000001</v>
      </c>
      <c r="P6">
        <v>-0.151</v>
      </c>
      <c r="Q6">
        <v>-0.1444</v>
      </c>
      <c r="R6">
        <v>-0.13769999999999999</v>
      </c>
      <c r="S6">
        <v>-0.12959999999999999</v>
      </c>
      <c r="T6">
        <v>-0.12239999999999999</v>
      </c>
      <c r="U6">
        <v>-0.1143</v>
      </c>
      <c r="V6">
        <v>-0.10580000000000001</v>
      </c>
      <c r="W6">
        <v>-9.8799999999999999E-2</v>
      </c>
      <c r="X6">
        <v>-9.0800000000000006E-2</v>
      </c>
      <c r="Y6">
        <v>-8.1500000000000003E-2</v>
      </c>
      <c r="Z6">
        <v>-7.3599999999999999E-2</v>
      </c>
      <c r="AA6">
        <v>-6.4399999999999999E-2</v>
      </c>
      <c r="AB6">
        <v>-5.5500000000000001E-2</v>
      </c>
      <c r="AC6">
        <v>-4.65E-2</v>
      </c>
      <c r="AD6">
        <v>5.3900000000000003E-2</v>
      </c>
      <c r="AE6">
        <v>2.63E-2</v>
      </c>
      <c r="AF6">
        <v>2.7199999999999998E-2</v>
      </c>
      <c r="AG6">
        <v>2.86E-2</v>
      </c>
      <c r="AH6">
        <v>3.09E-2</v>
      </c>
      <c r="AI6">
        <v>3.27E-2</v>
      </c>
      <c r="AJ6">
        <v>3.3799999999999997E-2</v>
      </c>
      <c r="AK6">
        <v>3.5200000000000002E-2</v>
      </c>
      <c r="AL6">
        <v>3.8699999999999998E-2</v>
      </c>
      <c r="AM6">
        <v>4.1200000000000001E-2</v>
      </c>
      <c r="AN6">
        <v>4.3200000000000002E-2</v>
      </c>
      <c r="AO6">
        <v>4.4999999999999998E-2</v>
      </c>
      <c r="AP6">
        <v>4.8399999999999999E-2</v>
      </c>
      <c r="AQ6">
        <v>5.1799999999999999E-2</v>
      </c>
      <c r="AR6">
        <v>5.74E-2</v>
      </c>
      <c r="AS6">
        <v>6.3799999999999996E-2</v>
      </c>
      <c r="AT6">
        <v>2.6599999999999999E-2</v>
      </c>
      <c r="AU6">
        <v>1.9199999999999998E-2</v>
      </c>
      <c r="AV6">
        <v>1.2500000000000001E-2</v>
      </c>
      <c r="AW6">
        <v>4.1999999999999997E-3</v>
      </c>
      <c r="AX6">
        <v>-1E-4</v>
      </c>
      <c r="AY6">
        <v>-2.0999999999999999E-3</v>
      </c>
      <c r="AZ6">
        <v>-7.7000000000000002E-3</v>
      </c>
      <c r="BA6">
        <v>-1.0500000000000001E-2</v>
      </c>
    </row>
    <row r="7" spans="1:53" x14ac:dyDescent="0.3">
      <c r="A7" t="s">
        <v>6</v>
      </c>
      <c r="B7">
        <v>-2.1700000000000001E-2</v>
      </c>
      <c r="C7">
        <v>-2.1700000000000001E-2</v>
      </c>
      <c r="D7">
        <v>-1.7600000000000001E-2</v>
      </c>
      <c r="E7">
        <v>-1.03E-2</v>
      </c>
      <c r="F7">
        <v>1.8200000000000001E-2</v>
      </c>
      <c r="G7">
        <v>1.9800000000000002E-2</v>
      </c>
      <c r="H7">
        <v>2.12E-2</v>
      </c>
      <c r="I7">
        <v>2.2200000000000001E-2</v>
      </c>
      <c r="J7">
        <v>2.3400000000000001E-2</v>
      </c>
      <c r="K7">
        <v>2.4E-2</v>
      </c>
      <c r="L7">
        <v>4.1000000000000003E-3</v>
      </c>
      <c r="M7">
        <v>3.0999999999999999E-3</v>
      </c>
      <c r="N7">
        <v>2.8999999999999998E-3</v>
      </c>
      <c r="O7">
        <v>1E-3</v>
      </c>
      <c r="P7">
        <v>-1.2999999999999999E-3</v>
      </c>
      <c r="Q7">
        <v>-2.3E-3</v>
      </c>
      <c r="R7">
        <v>-4.7999999999999996E-3</v>
      </c>
      <c r="S7">
        <v>-6.3E-3</v>
      </c>
      <c r="T7">
        <v>-6.1000000000000004E-3</v>
      </c>
      <c r="U7">
        <v>-7.0000000000000001E-3</v>
      </c>
      <c r="V7">
        <v>-7.0000000000000001E-3</v>
      </c>
      <c r="W7">
        <v>-6.4000000000000003E-3</v>
      </c>
      <c r="X7">
        <v>-6.7000000000000002E-3</v>
      </c>
      <c r="Y7">
        <v>-6.7000000000000002E-3</v>
      </c>
      <c r="Z7">
        <v>-7.4000000000000003E-3</v>
      </c>
      <c r="AA7">
        <v>-7.0000000000000001E-3</v>
      </c>
      <c r="AB7">
        <v>-7.6E-3</v>
      </c>
      <c r="AC7">
        <v>-6.4000000000000003E-3</v>
      </c>
      <c r="AD7">
        <v>-7.8899999999999998E-2</v>
      </c>
      <c r="AE7">
        <v>-0.61060000000000003</v>
      </c>
      <c r="AF7">
        <v>-0.6008</v>
      </c>
      <c r="AG7">
        <v>-0.59030000000000005</v>
      </c>
      <c r="AH7">
        <v>-0.5796</v>
      </c>
      <c r="AI7">
        <v>-0.56789999999999996</v>
      </c>
      <c r="AJ7">
        <v>-0.55459999999999998</v>
      </c>
      <c r="AK7">
        <v>-0.53979999999999995</v>
      </c>
      <c r="AL7">
        <v>-0.52180000000000004</v>
      </c>
      <c r="AM7">
        <v>-0.50219999999999998</v>
      </c>
      <c r="AN7">
        <v>-0.48070000000000002</v>
      </c>
      <c r="AO7">
        <v>-0.4541</v>
      </c>
      <c r="AP7">
        <v>-0.42120000000000002</v>
      </c>
      <c r="AQ7">
        <v>-0.37830000000000003</v>
      </c>
      <c r="AR7">
        <v>-0.32369999999999999</v>
      </c>
      <c r="AS7">
        <v>-0.24959999999999999</v>
      </c>
      <c r="AT7">
        <v>-0.63549999999999995</v>
      </c>
      <c r="AU7">
        <v>-0.6018</v>
      </c>
      <c r="AV7">
        <v>-0.56169999999999998</v>
      </c>
      <c r="AW7">
        <v>-0.51139999999999997</v>
      </c>
      <c r="AX7">
        <v>-0.45119999999999999</v>
      </c>
      <c r="AY7">
        <v>-0.3654</v>
      </c>
      <c r="AZ7">
        <v>-0.2273</v>
      </c>
      <c r="BA7">
        <v>3.6799999999999999E-2</v>
      </c>
    </row>
    <row r="8" spans="1:53" x14ac:dyDescent="0.3">
      <c r="A8" t="s">
        <v>7</v>
      </c>
      <c r="B8">
        <v>-3.4799999999999998E-2</v>
      </c>
      <c r="C8">
        <v>-3.4799999999999998E-2</v>
      </c>
      <c r="D8">
        <v>-3.4700000000000002E-2</v>
      </c>
      <c r="E8">
        <v>-3.4500000000000003E-2</v>
      </c>
      <c r="F8">
        <v>-2.3599999999999999E-2</v>
      </c>
      <c r="G8">
        <v>-2.4299999999999999E-2</v>
      </c>
      <c r="H8">
        <v>-2.41E-2</v>
      </c>
      <c r="I8">
        <v>-2.3900000000000001E-2</v>
      </c>
      <c r="J8">
        <v>-2.4400000000000002E-2</v>
      </c>
      <c r="K8">
        <v>-2.53E-2</v>
      </c>
      <c r="L8">
        <v>-3.6499999999999998E-2</v>
      </c>
      <c r="M8">
        <v>-3.6299999999999999E-2</v>
      </c>
      <c r="N8">
        <v>-3.61E-2</v>
      </c>
      <c r="O8">
        <v>-3.49E-2</v>
      </c>
      <c r="P8">
        <v>-3.4500000000000003E-2</v>
      </c>
      <c r="Q8">
        <v>-3.3500000000000002E-2</v>
      </c>
      <c r="R8">
        <v>-3.32E-2</v>
      </c>
      <c r="S8">
        <v>-3.3000000000000002E-2</v>
      </c>
      <c r="T8">
        <v>-3.3700000000000001E-2</v>
      </c>
      <c r="U8">
        <v>-3.3000000000000002E-2</v>
      </c>
      <c r="V8">
        <v>-3.39E-2</v>
      </c>
      <c r="W8">
        <v>-3.4099999999999998E-2</v>
      </c>
      <c r="X8">
        <v>-3.4599999999999999E-2</v>
      </c>
      <c r="Y8">
        <v>-3.56E-2</v>
      </c>
      <c r="Z8">
        <v>-3.5499999999999997E-2</v>
      </c>
      <c r="AA8">
        <v>-3.5999999999999997E-2</v>
      </c>
      <c r="AB8">
        <v>-3.6999999999999998E-2</v>
      </c>
      <c r="AC8">
        <v>-3.6900000000000002E-2</v>
      </c>
      <c r="AD8">
        <v>-4.7800000000000002E-2</v>
      </c>
      <c r="AE8">
        <v>-0.02</v>
      </c>
      <c r="AF8">
        <v>-1.9099999999999999E-2</v>
      </c>
      <c r="AG8">
        <v>-1.6500000000000001E-2</v>
      </c>
      <c r="AH8">
        <v>-1.49E-2</v>
      </c>
      <c r="AI8">
        <v>-1.2800000000000001E-2</v>
      </c>
      <c r="AJ8">
        <v>-1.21E-2</v>
      </c>
      <c r="AK8">
        <v>-1.0699999999999999E-2</v>
      </c>
      <c r="AL8">
        <v>-8.0999999999999996E-3</v>
      </c>
      <c r="AM8">
        <v>-4.8999999999999998E-3</v>
      </c>
      <c r="AN8">
        <v>-1.9E-3</v>
      </c>
      <c r="AO8">
        <v>6.9999999999999999E-4</v>
      </c>
      <c r="AP8">
        <v>1E-3</v>
      </c>
      <c r="AQ8">
        <v>1.2999999999999999E-3</v>
      </c>
      <c r="AR8">
        <v>-1.8E-3</v>
      </c>
      <c r="AS8">
        <v>-3.8E-3</v>
      </c>
      <c r="AT8">
        <v>-3.9699999999999999E-2</v>
      </c>
      <c r="AU8">
        <v>-3.6999999999999998E-2</v>
      </c>
      <c r="AV8">
        <v>-3.4299999999999997E-2</v>
      </c>
      <c r="AW8">
        <v>-3.3300000000000003E-2</v>
      </c>
      <c r="AX8">
        <v>-3.5400000000000001E-2</v>
      </c>
      <c r="AY8">
        <v>-3.9399999999999998E-2</v>
      </c>
      <c r="AZ8">
        <v>-4.1799999999999997E-2</v>
      </c>
      <c r="BA8">
        <v>-4.6100000000000002E-2</v>
      </c>
    </row>
    <row r="9" spans="1:53" x14ac:dyDescent="0.3">
      <c r="A9" t="s">
        <v>8</v>
      </c>
      <c r="B9">
        <v>7.8200000000000006E-2</v>
      </c>
      <c r="C9">
        <v>7.8200000000000006E-2</v>
      </c>
      <c r="D9">
        <v>7.7100000000000002E-2</v>
      </c>
      <c r="E9">
        <v>7.4499999999999997E-2</v>
      </c>
      <c r="F9">
        <v>6.3200000000000006E-2</v>
      </c>
      <c r="G9">
        <v>6.3399999999999998E-2</v>
      </c>
      <c r="H9">
        <v>6.3E-2</v>
      </c>
      <c r="I9">
        <v>6.1699999999999998E-2</v>
      </c>
      <c r="J9">
        <v>6.0499999999999998E-2</v>
      </c>
      <c r="K9">
        <v>0.06</v>
      </c>
      <c r="L9">
        <v>6.7500000000000004E-2</v>
      </c>
      <c r="M9">
        <v>6.7900000000000002E-2</v>
      </c>
      <c r="N9">
        <v>6.8199999999999997E-2</v>
      </c>
      <c r="O9">
        <v>6.8900000000000003E-2</v>
      </c>
      <c r="P9">
        <v>6.93E-2</v>
      </c>
      <c r="Q9">
        <v>6.8900000000000003E-2</v>
      </c>
      <c r="R9">
        <v>6.8699999999999997E-2</v>
      </c>
      <c r="S9">
        <v>6.8099999999999994E-2</v>
      </c>
      <c r="T9">
        <v>6.6799999999999998E-2</v>
      </c>
      <c r="U9">
        <v>6.6100000000000006E-2</v>
      </c>
      <c r="V9">
        <v>6.5199999999999994E-2</v>
      </c>
      <c r="W9">
        <v>6.5100000000000005E-2</v>
      </c>
      <c r="X9">
        <v>6.4600000000000005E-2</v>
      </c>
      <c r="Y9">
        <v>6.3899999999999998E-2</v>
      </c>
      <c r="Z9">
        <v>6.4000000000000001E-2</v>
      </c>
      <c r="AA9">
        <v>6.3100000000000003E-2</v>
      </c>
      <c r="AB9">
        <v>6.2799999999999995E-2</v>
      </c>
      <c r="AC9">
        <v>6.1800000000000001E-2</v>
      </c>
      <c r="AD9">
        <v>7.9799999999999996E-2</v>
      </c>
      <c r="AE9">
        <v>-2.3800000000000002E-2</v>
      </c>
      <c r="AF9">
        <v>-2.4899999999999999E-2</v>
      </c>
      <c r="AG9">
        <v>-2.6599999999999999E-2</v>
      </c>
      <c r="AH9">
        <v>-2.7400000000000001E-2</v>
      </c>
      <c r="AI9">
        <v>-2.8899999999999999E-2</v>
      </c>
      <c r="AJ9">
        <v>-2.9700000000000001E-2</v>
      </c>
      <c r="AK9">
        <v>-2.98E-2</v>
      </c>
      <c r="AL9">
        <v>-3.0800000000000001E-2</v>
      </c>
      <c r="AM9">
        <v>-3.2500000000000001E-2</v>
      </c>
      <c r="AN9">
        <v>-3.4299999999999997E-2</v>
      </c>
      <c r="AO9">
        <v>-3.73E-2</v>
      </c>
      <c r="AP9">
        <v>-3.9199999999999999E-2</v>
      </c>
      <c r="AQ9">
        <v>-4.48E-2</v>
      </c>
      <c r="AR9">
        <v>-4.8300000000000003E-2</v>
      </c>
      <c r="AS9">
        <v>-5.4199999999999998E-2</v>
      </c>
      <c r="AT9">
        <v>-1.2999999999999999E-3</v>
      </c>
      <c r="AU9">
        <v>-2.5999999999999999E-3</v>
      </c>
      <c r="AV9">
        <v>-4.3E-3</v>
      </c>
      <c r="AW9">
        <v>-7.7999999999999996E-3</v>
      </c>
      <c r="AX9">
        <v>-1.12E-2</v>
      </c>
      <c r="AY9">
        <v>-1.9099999999999999E-2</v>
      </c>
      <c r="AZ9">
        <v>-3.6900000000000002E-2</v>
      </c>
      <c r="BA9">
        <v>-5.6800000000000003E-2</v>
      </c>
    </row>
    <row r="10" spans="1:53" x14ac:dyDescent="0.3">
      <c r="A10" t="s">
        <v>9</v>
      </c>
      <c r="B10">
        <v>5.1900000000000002E-2</v>
      </c>
      <c r="C10">
        <v>5.1900000000000002E-2</v>
      </c>
      <c r="D10">
        <v>5.1200000000000002E-2</v>
      </c>
      <c r="E10">
        <v>5.0799999999999998E-2</v>
      </c>
      <c r="F10">
        <v>4.41E-2</v>
      </c>
      <c r="G10">
        <v>4.19E-2</v>
      </c>
      <c r="H10">
        <v>3.9199999999999999E-2</v>
      </c>
      <c r="I10">
        <v>3.61E-2</v>
      </c>
      <c r="J10">
        <v>3.2800000000000003E-2</v>
      </c>
      <c r="K10">
        <v>2.87E-2</v>
      </c>
      <c r="L10">
        <v>2.2800000000000001E-2</v>
      </c>
      <c r="M10">
        <v>2.0400000000000001E-2</v>
      </c>
      <c r="N10">
        <v>1.95E-2</v>
      </c>
      <c r="O10">
        <v>1.8200000000000001E-2</v>
      </c>
      <c r="P10">
        <v>1.8200000000000001E-2</v>
      </c>
      <c r="Q10">
        <v>1.5800000000000002E-2</v>
      </c>
      <c r="R10">
        <v>1.2999999999999999E-2</v>
      </c>
      <c r="S10">
        <v>9.7000000000000003E-3</v>
      </c>
      <c r="T10">
        <v>5.4000000000000003E-3</v>
      </c>
      <c r="U10">
        <v>-1E-4</v>
      </c>
      <c r="V10">
        <v>-5.5999999999999999E-3</v>
      </c>
      <c r="W10">
        <v>-1.23E-2</v>
      </c>
      <c r="X10">
        <v>-1.89E-2</v>
      </c>
      <c r="Y10">
        <v>-2.5700000000000001E-2</v>
      </c>
      <c r="Z10">
        <v>-3.3099999999999997E-2</v>
      </c>
      <c r="AA10">
        <v>-4.1599999999999998E-2</v>
      </c>
      <c r="AB10">
        <v>-4.9500000000000002E-2</v>
      </c>
      <c r="AC10">
        <v>-5.8000000000000003E-2</v>
      </c>
      <c r="AD10">
        <v>6.6600000000000006E-2</v>
      </c>
      <c r="AE10">
        <v>9.1800000000000007E-2</v>
      </c>
      <c r="AF10">
        <v>8.6999999999999994E-2</v>
      </c>
      <c r="AG10">
        <v>8.0600000000000005E-2</v>
      </c>
      <c r="AH10">
        <v>7.51E-2</v>
      </c>
      <c r="AI10">
        <v>6.9599999999999995E-2</v>
      </c>
      <c r="AJ10">
        <v>6.2700000000000006E-2</v>
      </c>
      <c r="AK10">
        <v>5.6300000000000003E-2</v>
      </c>
      <c r="AL10">
        <v>4.8800000000000003E-2</v>
      </c>
      <c r="AM10">
        <v>4.2299999999999997E-2</v>
      </c>
      <c r="AN10">
        <v>3.5700000000000003E-2</v>
      </c>
      <c r="AO10">
        <v>3.15E-2</v>
      </c>
      <c r="AP10">
        <v>2.69E-2</v>
      </c>
      <c r="AQ10">
        <v>2.2499999999999999E-2</v>
      </c>
      <c r="AR10">
        <v>2.1100000000000001E-2</v>
      </c>
      <c r="AS10">
        <v>1.77E-2</v>
      </c>
      <c r="AT10">
        <v>0.24540000000000001</v>
      </c>
      <c r="AU10">
        <v>0.21779999999999999</v>
      </c>
      <c r="AV10">
        <v>0.189</v>
      </c>
      <c r="AW10">
        <v>0.15859999999999999</v>
      </c>
      <c r="AX10">
        <v>0.13039999999999999</v>
      </c>
      <c r="AY10">
        <v>0.1004</v>
      </c>
      <c r="AZ10">
        <v>6.6500000000000004E-2</v>
      </c>
      <c r="BA10">
        <v>2.0299999999999999E-2</v>
      </c>
    </row>
    <row r="11" spans="1:53" x14ac:dyDescent="0.3">
      <c r="A11" t="s">
        <v>10</v>
      </c>
      <c r="B11">
        <v>0.5</v>
      </c>
      <c r="C11">
        <v>0.5</v>
      </c>
      <c r="D11">
        <v>0.50060000000000004</v>
      </c>
      <c r="E11">
        <v>0.50239999999999996</v>
      </c>
      <c r="F11">
        <v>0.46079999999999999</v>
      </c>
      <c r="G11">
        <v>0.4622</v>
      </c>
      <c r="H11">
        <v>0.4642</v>
      </c>
      <c r="I11">
        <v>0.4662</v>
      </c>
      <c r="J11">
        <v>0.46789999999999998</v>
      </c>
      <c r="K11">
        <v>0.46779999999999999</v>
      </c>
      <c r="L11">
        <v>0.50770000000000004</v>
      </c>
      <c r="M11">
        <v>0.50870000000000004</v>
      </c>
      <c r="N11">
        <v>0.50839999999999996</v>
      </c>
      <c r="O11">
        <v>0.50800000000000001</v>
      </c>
      <c r="P11">
        <v>0.50519999999999998</v>
      </c>
      <c r="Q11">
        <v>0.50270000000000004</v>
      </c>
      <c r="R11">
        <v>0.49990000000000001</v>
      </c>
      <c r="S11">
        <v>0.497</v>
      </c>
      <c r="T11">
        <v>0.49459999999999998</v>
      </c>
      <c r="U11">
        <v>0.49130000000000001</v>
      </c>
      <c r="V11">
        <v>0.48799999999999999</v>
      </c>
      <c r="W11">
        <v>0.48480000000000001</v>
      </c>
      <c r="X11">
        <v>0.48220000000000002</v>
      </c>
      <c r="Y11">
        <v>0.47860000000000003</v>
      </c>
      <c r="Z11">
        <v>0.47520000000000001</v>
      </c>
      <c r="AA11">
        <v>0.47160000000000002</v>
      </c>
      <c r="AB11">
        <v>0.46750000000000003</v>
      </c>
      <c r="AC11">
        <v>0.46439999999999998</v>
      </c>
      <c r="AD11">
        <v>-3.5099999999999999E-2</v>
      </c>
      <c r="AE11">
        <v>-2.0000000000000001E-4</v>
      </c>
      <c r="AF11">
        <v>-1.1000000000000001E-3</v>
      </c>
      <c r="AG11">
        <v>-8.0000000000000004E-4</v>
      </c>
      <c r="AH11">
        <v>-2.2000000000000001E-3</v>
      </c>
      <c r="AI11">
        <v>-3.2000000000000002E-3</v>
      </c>
      <c r="AJ11">
        <v>-4.3E-3</v>
      </c>
      <c r="AK11">
        <v>-5.4000000000000003E-3</v>
      </c>
      <c r="AL11">
        <v>-5.7999999999999996E-3</v>
      </c>
      <c r="AM11">
        <v>-7.3000000000000001E-3</v>
      </c>
      <c r="AN11">
        <v>-8.3000000000000001E-3</v>
      </c>
      <c r="AO11">
        <v>-1.17E-2</v>
      </c>
      <c r="AP11">
        <v>-1.3299999999999999E-2</v>
      </c>
      <c r="AQ11">
        <v>-1.61E-2</v>
      </c>
      <c r="AR11">
        <v>-2.3300000000000001E-2</v>
      </c>
      <c r="AS11">
        <v>-2.6599999999999999E-2</v>
      </c>
      <c r="AT11">
        <v>1.17E-2</v>
      </c>
      <c r="AU11">
        <v>1.5299999999999999E-2</v>
      </c>
      <c r="AV11">
        <v>2.0299999999999999E-2</v>
      </c>
      <c r="AW11">
        <v>2.5899999999999999E-2</v>
      </c>
      <c r="AX11">
        <v>3.3099999999999997E-2</v>
      </c>
      <c r="AY11">
        <v>4.3499999999999997E-2</v>
      </c>
      <c r="AZ11">
        <v>5.3999999999999999E-2</v>
      </c>
      <c r="BA11">
        <v>6.5600000000000006E-2</v>
      </c>
    </row>
    <row r="12" spans="1:53" x14ac:dyDescent="0.3">
      <c r="A12" t="s">
        <v>11</v>
      </c>
      <c r="B12">
        <v>0.51290000000000002</v>
      </c>
      <c r="C12">
        <v>0.51290000000000002</v>
      </c>
      <c r="D12">
        <v>0.5171</v>
      </c>
      <c r="E12">
        <v>0.52300000000000002</v>
      </c>
      <c r="F12">
        <v>0.57350000000000001</v>
      </c>
      <c r="G12">
        <v>0.57940000000000003</v>
      </c>
      <c r="H12">
        <v>0.58650000000000002</v>
      </c>
      <c r="I12">
        <v>0.59389999999999998</v>
      </c>
      <c r="J12">
        <v>0.60070000000000001</v>
      </c>
      <c r="K12">
        <v>0.60629999999999995</v>
      </c>
      <c r="L12">
        <v>0.62749999999999995</v>
      </c>
      <c r="M12">
        <v>0.6371</v>
      </c>
      <c r="N12">
        <v>0.6472</v>
      </c>
      <c r="O12">
        <v>0.65600000000000003</v>
      </c>
      <c r="P12">
        <v>0.66369999999999996</v>
      </c>
      <c r="Q12">
        <v>0.66930000000000001</v>
      </c>
      <c r="R12">
        <v>0.67300000000000004</v>
      </c>
      <c r="S12">
        <v>0.6764</v>
      </c>
      <c r="T12">
        <v>0.68030000000000002</v>
      </c>
      <c r="U12">
        <v>0.68340000000000001</v>
      </c>
      <c r="V12">
        <v>0.68740000000000001</v>
      </c>
      <c r="W12">
        <v>0.69110000000000005</v>
      </c>
      <c r="X12">
        <v>0.69430000000000003</v>
      </c>
      <c r="Y12">
        <v>0.69789999999999996</v>
      </c>
      <c r="Z12">
        <v>0.70150000000000001</v>
      </c>
      <c r="AA12">
        <v>0.7056</v>
      </c>
      <c r="AB12">
        <v>0.70960000000000001</v>
      </c>
      <c r="AC12">
        <v>0.71330000000000005</v>
      </c>
      <c r="AD12">
        <v>1.5E-3</v>
      </c>
      <c r="AE12">
        <v>-4.7399999999999998E-2</v>
      </c>
      <c r="AF12">
        <v>-4.7699999999999999E-2</v>
      </c>
      <c r="AG12">
        <v>-4.6199999999999998E-2</v>
      </c>
      <c r="AH12">
        <v>-4.5100000000000001E-2</v>
      </c>
      <c r="AI12">
        <v>-4.3999999999999997E-2</v>
      </c>
      <c r="AJ12">
        <v>-4.2999999999999997E-2</v>
      </c>
      <c r="AK12">
        <v>-4.1500000000000002E-2</v>
      </c>
      <c r="AL12">
        <v>-3.9899999999999998E-2</v>
      </c>
      <c r="AM12">
        <v>-3.8399999999999997E-2</v>
      </c>
      <c r="AN12">
        <v>-3.5000000000000003E-2</v>
      </c>
      <c r="AO12">
        <v>-3.32E-2</v>
      </c>
      <c r="AP12">
        <v>-2.9000000000000001E-2</v>
      </c>
      <c r="AQ12">
        <v>-2.8799999999999999E-2</v>
      </c>
      <c r="AR12">
        <v>-2.8899999999999999E-2</v>
      </c>
      <c r="AS12">
        <v>-2.9499999999999998E-2</v>
      </c>
      <c r="AT12">
        <v>-2.07E-2</v>
      </c>
      <c r="AU12">
        <v>-1.23E-2</v>
      </c>
      <c r="AV12">
        <v>-1.1999999999999999E-3</v>
      </c>
      <c r="AW12">
        <v>9.7999999999999997E-3</v>
      </c>
      <c r="AX12">
        <v>1.9800000000000002E-2</v>
      </c>
      <c r="AY12">
        <v>3.7999999999999999E-2</v>
      </c>
      <c r="AZ12">
        <v>5.7200000000000001E-2</v>
      </c>
      <c r="BA12">
        <v>6.3500000000000001E-2</v>
      </c>
    </row>
    <row r="13" spans="1:53" x14ac:dyDescent="0.3">
      <c r="A13" t="s">
        <v>12</v>
      </c>
      <c r="B13">
        <v>-6.4000000000000003E-3</v>
      </c>
      <c r="C13">
        <v>-6.4000000000000003E-3</v>
      </c>
      <c r="D13">
        <v>-7.1000000000000004E-3</v>
      </c>
      <c r="E13">
        <v>-8.2000000000000007E-3</v>
      </c>
      <c r="F13">
        <v>-3.6600000000000001E-2</v>
      </c>
      <c r="G13">
        <v>-3.6600000000000001E-2</v>
      </c>
      <c r="H13">
        <v>-3.6799999999999999E-2</v>
      </c>
      <c r="I13">
        <v>-3.6400000000000002E-2</v>
      </c>
      <c r="J13">
        <v>-3.7900000000000003E-2</v>
      </c>
      <c r="K13">
        <v>-3.9199999999999999E-2</v>
      </c>
      <c r="L13">
        <v>-3.8300000000000001E-2</v>
      </c>
      <c r="M13">
        <v>-4.1799999999999997E-2</v>
      </c>
      <c r="N13">
        <v>-4.4999999999999998E-2</v>
      </c>
      <c r="O13">
        <v>-4.8800000000000003E-2</v>
      </c>
      <c r="P13">
        <v>-5.2200000000000003E-2</v>
      </c>
      <c r="Q13">
        <v>-5.5100000000000003E-2</v>
      </c>
      <c r="R13">
        <v>-5.7299999999999997E-2</v>
      </c>
      <c r="S13">
        <v>-5.8400000000000001E-2</v>
      </c>
      <c r="T13">
        <v>-5.9299999999999999E-2</v>
      </c>
      <c r="U13">
        <v>-5.9400000000000001E-2</v>
      </c>
      <c r="V13">
        <v>-5.96E-2</v>
      </c>
      <c r="W13">
        <v>-6.0299999999999999E-2</v>
      </c>
      <c r="X13">
        <v>-6.1100000000000002E-2</v>
      </c>
      <c r="Y13">
        <v>-6.1199999999999997E-2</v>
      </c>
      <c r="Z13">
        <v>-6.2100000000000002E-2</v>
      </c>
      <c r="AA13">
        <v>-6.1600000000000002E-2</v>
      </c>
      <c r="AB13">
        <v>-6.0699999999999997E-2</v>
      </c>
      <c r="AC13">
        <v>-5.9700000000000003E-2</v>
      </c>
      <c r="AD13">
        <v>-5.8900000000000001E-2</v>
      </c>
      <c r="AE13">
        <v>-2.3699999999999999E-2</v>
      </c>
      <c r="AF13">
        <v>-2.3800000000000002E-2</v>
      </c>
      <c r="AG13">
        <v>-2.29E-2</v>
      </c>
      <c r="AH13">
        <v>-2.1999999999999999E-2</v>
      </c>
      <c r="AI13">
        <v>-2.1600000000000001E-2</v>
      </c>
      <c r="AJ13">
        <v>-2.1600000000000001E-2</v>
      </c>
      <c r="AK13">
        <v>-2.1499999999999998E-2</v>
      </c>
      <c r="AL13">
        <v>-1.8800000000000001E-2</v>
      </c>
      <c r="AM13">
        <v>-1.77E-2</v>
      </c>
      <c r="AN13">
        <v>-1.7899999999999999E-2</v>
      </c>
      <c r="AO13">
        <v>-1.8100000000000002E-2</v>
      </c>
      <c r="AP13">
        <v>-1.9300000000000001E-2</v>
      </c>
      <c r="AQ13">
        <v>-2.12E-2</v>
      </c>
      <c r="AR13">
        <v>-2.53E-2</v>
      </c>
      <c r="AS13">
        <v>-2.8299999999999999E-2</v>
      </c>
      <c r="AT13">
        <v>-1.7999999999999999E-2</v>
      </c>
      <c r="AU13">
        <v>-1.6199999999999999E-2</v>
      </c>
      <c r="AV13">
        <v>-1.52E-2</v>
      </c>
      <c r="AW13">
        <v>-1.3599999999999999E-2</v>
      </c>
      <c r="AX13">
        <v>-1.24E-2</v>
      </c>
      <c r="AY13">
        <v>-0.01</v>
      </c>
      <c r="AZ13">
        <v>-1.03E-2</v>
      </c>
      <c r="BA13">
        <v>-5.1999999999999998E-3</v>
      </c>
    </row>
    <row r="14" spans="1:53" x14ac:dyDescent="0.3">
      <c r="A14" t="s">
        <v>13</v>
      </c>
      <c r="B14">
        <v>-1.6799999999999999E-2</v>
      </c>
      <c r="C14">
        <v>-1.6799999999999999E-2</v>
      </c>
      <c r="D14">
        <v>-1.66E-2</v>
      </c>
      <c r="E14">
        <v>-1.5599999999999999E-2</v>
      </c>
      <c r="F14">
        <v>-1.2699999999999999E-2</v>
      </c>
      <c r="G14">
        <v>-1.0999999999999999E-2</v>
      </c>
      <c r="H14">
        <v>-8.9999999999999993E-3</v>
      </c>
      <c r="I14">
        <v>-8.0999999999999996E-3</v>
      </c>
      <c r="J14">
        <v>-6.7000000000000002E-3</v>
      </c>
      <c r="K14">
        <v>-6.6E-3</v>
      </c>
      <c r="L14">
        <v>-7.9000000000000008E-3</v>
      </c>
      <c r="M14">
        <v>-5.3E-3</v>
      </c>
      <c r="N14">
        <v>-2.2000000000000001E-3</v>
      </c>
      <c r="O14">
        <v>-2.9999999999999997E-4</v>
      </c>
      <c r="P14">
        <v>2.9999999999999997E-4</v>
      </c>
      <c r="Q14">
        <v>1.2999999999999999E-3</v>
      </c>
      <c r="R14">
        <v>1.9E-3</v>
      </c>
      <c r="S14">
        <v>2.3E-3</v>
      </c>
      <c r="T14">
        <v>3.3E-3</v>
      </c>
      <c r="U14">
        <v>3.3E-3</v>
      </c>
      <c r="V14">
        <v>2.7000000000000001E-3</v>
      </c>
      <c r="W14">
        <v>2.3999999999999998E-3</v>
      </c>
      <c r="X14">
        <v>1.9E-3</v>
      </c>
      <c r="Y14">
        <v>5.0000000000000001E-4</v>
      </c>
      <c r="Z14">
        <v>-4.0000000000000002E-4</v>
      </c>
      <c r="AA14">
        <v>-1.5E-3</v>
      </c>
      <c r="AB14">
        <v>-2.7000000000000001E-3</v>
      </c>
      <c r="AC14">
        <v>-4.3E-3</v>
      </c>
      <c r="AD14">
        <v>3.2300000000000002E-2</v>
      </c>
      <c r="AE14">
        <v>-9.1499999999999998E-2</v>
      </c>
      <c r="AF14">
        <v>-9.2100000000000001E-2</v>
      </c>
      <c r="AG14">
        <v>-9.2399999999999996E-2</v>
      </c>
      <c r="AH14">
        <v>-9.3100000000000002E-2</v>
      </c>
      <c r="AI14">
        <v>-9.4399999999999998E-2</v>
      </c>
      <c r="AJ14">
        <v>-9.5200000000000007E-2</v>
      </c>
      <c r="AK14">
        <v>-9.5699999999999993E-2</v>
      </c>
      <c r="AL14">
        <v>-9.6000000000000002E-2</v>
      </c>
      <c r="AM14">
        <v>-9.5399999999999999E-2</v>
      </c>
      <c r="AN14">
        <v>-9.3899999999999997E-2</v>
      </c>
      <c r="AO14">
        <v>-9.5100000000000004E-2</v>
      </c>
      <c r="AP14">
        <v>-9.4799999999999995E-2</v>
      </c>
      <c r="AQ14">
        <v>-9.1300000000000006E-2</v>
      </c>
      <c r="AR14">
        <v>-8.7999999999999995E-2</v>
      </c>
      <c r="AS14">
        <v>-8.1199999999999994E-2</v>
      </c>
      <c r="AT14">
        <v>-4.7600000000000003E-2</v>
      </c>
      <c r="AU14">
        <v>-5.3199999999999997E-2</v>
      </c>
      <c r="AV14">
        <v>-5.9799999999999999E-2</v>
      </c>
      <c r="AW14">
        <v>-6.5100000000000005E-2</v>
      </c>
      <c r="AX14">
        <v>-7.2599999999999998E-2</v>
      </c>
      <c r="AY14">
        <v>-7.7600000000000002E-2</v>
      </c>
      <c r="AZ14">
        <v>-8.0600000000000005E-2</v>
      </c>
      <c r="BA14">
        <v>-4.3799999999999999E-2</v>
      </c>
    </row>
    <row r="15" spans="1:53" x14ac:dyDescent="0.3">
      <c r="A15" t="s">
        <v>14</v>
      </c>
      <c r="B15">
        <v>1.5900000000000001E-2</v>
      </c>
      <c r="C15">
        <v>1.5900000000000001E-2</v>
      </c>
      <c r="D15">
        <v>1.66E-2</v>
      </c>
      <c r="E15">
        <v>1.6299999999999999E-2</v>
      </c>
      <c r="F15">
        <v>-1.2200000000000001E-2</v>
      </c>
      <c r="G15">
        <v>-1.29E-2</v>
      </c>
      <c r="H15">
        <v>-1.3299999999999999E-2</v>
      </c>
      <c r="I15">
        <v>-1.4200000000000001E-2</v>
      </c>
      <c r="J15">
        <v>-1.4800000000000001E-2</v>
      </c>
      <c r="K15">
        <v>-1.6199999999999999E-2</v>
      </c>
      <c r="L15">
        <v>7.1000000000000004E-3</v>
      </c>
      <c r="M15">
        <v>6.4999999999999997E-3</v>
      </c>
      <c r="N15">
        <v>3.8E-3</v>
      </c>
      <c r="O15">
        <v>1.6999999999999999E-3</v>
      </c>
      <c r="P15">
        <v>-1.1999999999999999E-3</v>
      </c>
      <c r="Q15">
        <v>-4.4000000000000003E-3</v>
      </c>
      <c r="R15">
        <v>-6.1000000000000004E-3</v>
      </c>
      <c r="S15">
        <v>-7.6E-3</v>
      </c>
      <c r="T15">
        <v>-9.4000000000000004E-3</v>
      </c>
      <c r="U15">
        <v>-1.09E-2</v>
      </c>
      <c r="V15">
        <v>-1.1599999999999999E-2</v>
      </c>
      <c r="W15">
        <v>-1.2999999999999999E-2</v>
      </c>
      <c r="X15">
        <v>-1.4200000000000001E-2</v>
      </c>
      <c r="Y15">
        <v>-1.6E-2</v>
      </c>
      <c r="Z15">
        <v>-1.7000000000000001E-2</v>
      </c>
      <c r="AA15">
        <v>-1.7100000000000001E-2</v>
      </c>
      <c r="AB15">
        <v>-1.95E-2</v>
      </c>
      <c r="AC15">
        <v>-2.1600000000000001E-2</v>
      </c>
      <c r="AD15">
        <v>0.40389999999999998</v>
      </c>
      <c r="AE15">
        <v>-1.35E-2</v>
      </c>
      <c r="AF15">
        <v>-1.3899999999999999E-2</v>
      </c>
      <c r="AG15">
        <v>-1.5299999999999999E-2</v>
      </c>
      <c r="AH15">
        <v>-1.5599999999999999E-2</v>
      </c>
      <c r="AI15">
        <v>-1.52E-2</v>
      </c>
      <c r="AJ15">
        <v>-1.6500000000000001E-2</v>
      </c>
      <c r="AK15">
        <v>-1.7100000000000001E-2</v>
      </c>
      <c r="AL15">
        <v>-1.66E-2</v>
      </c>
      <c r="AM15">
        <v>-1.78E-2</v>
      </c>
      <c r="AN15">
        <v>-1.67E-2</v>
      </c>
      <c r="AO15">
        <v>-1.6E-2</v>
      </c>
      <c r="AP15">
        <v>-1.6E-2</v>
      </c>
      <c r="AQ15">
        <v>-1.72E-2</v>
      </c>
      <c r="AR15">
        <v>-1.77E-2</v>
      </c>
      <c r="AS15">
        <v>-1.95E-2</v>
      </c>
      <c r="AT15">
        <v>3.73E-2</v>
      </c>
      <c r="AU15">
        <v>3.6200000000000003E-2</v>
      </c>
      <c r="AV15">
        <v>3.7900000000000003E-2</v>
      </c>
      <c r="AW15">
        <v>3.7999999999999999E-2</v>
      </c>
      <c r="AX15">
        <v>3.9899999999999998E-2</v>
      </c>
      <c r="AY15">
        <v>4.7E-2</v>
      </c>
      <c r="AZ15">
        <v>6.3200000000000006E-2</v>
      </c>
      <c r="BA15">
        <v>9.1899999999999996E-2</v>
      </c>
    </row>
    <row r="16" spans="1:53" x14ac:dyDescent="0.3">
      <c r="A16" t="s">
        <v>15</v>
      </c>
      <c r="B16">
        <v>0.14230000000000001</v>
      </c>
      <c r="C16">
        <v>0.14230000000000001</v>
      </c>
      <c r="D16">
        <v>0.1434</v>
      </c>
      <c r="E16">
        <v>0.14419999999999999</v>
      </c>
      <c r="F16">
        <v>0.1447</v>
      </c>
      <c r="G16">
        <v>0.14530000000000001</v>
      </c>
      <c r="H16">
        <v>0.14760000000000001</v>
      </c>
      <c r="I16">
        <v>0.14799999999999999</v>
      </c>
      <c r="J16">
        <v>0.15060000000000001</v>
      </c>
      <c r="K16">
        <v>0.15279999999999999</v>
      </c>
      <c r="L16">
        <v>0.1661</v>
      </c>
      <c r="M16">
        <v>0.17019999999999999</v>
      </c>
      <c r="N16">
        <v>0.17580000000000001</v>
      </c>
      <c r="O16">
        <v>0.1812</v>
      </c>
      <c r="P16">
        <v>0.18709999999999999</v>
      </c>
      <c r="Q16">
        <v>0.1913</v>
      </c>
      <c r="R16">
        <v>0.1956</v>
      </c>
      <c r="S16">
        <v>0.19889999999999999</v>
      </c>
      <c r="T16">
        <v>0.20200000000000001</v>
      </c>
      <c r="U16">
        <v>0.2054</v>
      </c>
      <c r="V16">
        <v>0.20830000000000001</v>
      </c>
      <c r="W16">
        <v>0.21099999999999999</v>
      </c>
      <c r="X16">
        <v>0.2137</v>
      </c>
      <c r="Y16">
        <v>0.2172</v>
      </c>
      <c r="Z16">
        <v>0.21959999999999999</v>
      </c>
      <c r="AA16">
        <v>0.2213</v>
      </c>
      <c r="AB16">
        <v>0.2235</v>
      </c>
      <c r="AC16">
        <v>0.22500000000000001</v>
      </c>
      <c r="AD16">
        <v>0.75319999999999998</v>
      </c>
      <c r="AE16">
        <v>-6.1899999999999997E-2</v>
      </c>
      <c r="AF16">
        <v>-6.2700000000000006E-2</v>
      </c>
      <c r="AG16">
        <v>-6.3299999999999995E-2</v>
      </c>
      <c r="AH16">
        <v>-6.3799999999999996E-2</v>
      </c>
      <c r="AI16">
        <v>-6.4600000000000005E-2</v>
      </c>
      <c r="AJ16">
        <v>-6.4000000000000001E-2</v>
      </c>
      <c r="AK16">
        <v>-6.4199999999999993E-2</v>
      </c>
      <c r="AL16">
        <v>-6.3299999999999995E-2</v>
      </c>
      <c r="AM16">
        <v>-6.3399999999999998E-2</v>
      </c>
      <c r="AN16">
        <v>-6.4699999999999994E-2</v>
      </c>
      <c r="AO16">
        <v>-6.3100000000000003E-2</v>
      </c>
      <c r="AP16">
        <v>-6.3399999999999998E-2</v>
      </c>
      <c r="AQ16">
        <v>-6.2799999999999995E-2</v>
      </c>
      <c r="AR16">
        <v>-5.8000000000000003E-2</v>
      </c>
      <c r="AS16">
        <v>-5.11E-2</v>
      </c>
      <c r="AT16">
        <v>-3.9800000000000002E-2</v>
      </c>
      <c r="AU16">
        <v>-3.8300000000000001E-2</v>
      </c>
      <c r="AV16">
        <v>-3.85E-2</v>
      </c>
      <c r="AW16">
        <v>-3.3000000000000002E-2</v>
      </c>
      <c r="AX16">
        <v>-3.1E-2</v>
      </c>
      <c r="AY16">
        <v>-1.9800000000000002E-2</v>
      </c>
      <c r="AZ16">
        <v>-4.1999999999999997E-3</v>
      </c>
      <c r="BA16">
        <v>1.9099999999999999E-2</v>
      </c>
    </row>
    <row r="17" spans="1:53" x14ac:dyDescent="0.3">
      <c r="A17" t="s">
        <v>16</v>
      </c>
      <c r="B17">
        <v>4.4699999999999997E-2</v>
      </c>
      <c r="C17">
        <v>4.4699999999999997E-2</v>
      </c>
      <c r="D17">
        <v>4.3799999999999999E-2</v>
      </c>
      <c r="E17">
        <v>4.3900000000000002E-2</v>
      </c>
      <c r="F17">
        <v>7.0900000000000005E-2</v>
      </c>
      <c r="G17">
        <v>7.0099999999999996E-2</v>
      </c>
      <c r="H17">
        <v>6.9599999999999995E-2</v>
      </c>
      <c r="I17">
        <v>6.7199999999999996E-2</v>
      </c>
      <c r="J17">
        <v>6.6000000000000003E-2</v>
      </c>
      <c r="K17">
        <v>6.4799999999999996E-2</v>
      </c>
      <c r="L17">
        <v>9.3399999999999997E-2</v>
      </c>
      <c r="M17">
        <v>9.1499999999999998E-2</v>
      </c>
      <c r="N17">
        <v>9.0399999999999994E-2</v>
      </c>
      <c r="O17">
        <v>8.9099999999999999E-2</v>
      </c>
      <c r="P17">
        <v>8.7300000000000003E-2</v>
      </c>
      <c r="Q17">
        <v>8.6099999999999996E-2</v>
      </c>
      <c r="R17">
        <v>8.5400000000000004E-2</v>
      </c>
      <c r="S17">
        <v>8.48E-2</v>
      </c>
      <c r="T17">
        <v>8.4699999999999998E-2</v>
      </c>
      <c r="U17">
        <v>8.3099999999999993E-2</v>
      </c>
      <c r="V17">
        <v>8.3199999999999996E-2</v>
      </c>
      <c r="W17">
        <v>8.3199999999999996E-2</v>
      </c>
      <c r="X17">
        <v>8.2600000000000007E-2</v>
      </c>
      <c r="Y17">
        <v>8.1900000000000001E-2</v>
      </c>
      <c r="Z17">
        <v>8.0600000000000005E-2</v>
      </c>
      <c r="AA17">
        <v>8.0600000000000005E-2</v>
      </c>
      <c r="AB17">
        <v>8.1600000000000006E-2</v>
      </c>
      <c r="AC17">
        <v>8.1799999999999998E-2</v>
      </c>
      <c r="AD17">
        <v>1.9800000000000002E-2</v>
      </c>
      <c r="AE17">
        <v>-1.09E-2</v>
      </c>
      <c r="AF17">
        <v>-9.7000000000000003E-3</v>
      </c>
      <c r="AG17">
        <v>-7.7000000000000002E-3</v>
      </c>
      <c r="AH17">
        <v>-5.1999999999999998E-3</v>
      </c>
      <c r="AI17">
        <v>-3.7000000000000002E-3</v>
      </c>
      <c r="AJ17">
        <v>-8.0000000000000004E-4</v>
      </c>
      <c r="AK17">
        <v>1.6999999999999999E-3</v>
      </c>
      <c r="AL17">
        <v>4.7999999999999996E-3</v>
      </c>
      <c r="AM17">
        <v>7.1000000000000004E-3</v>
      </c>
      <c r="AN17">
        <v>1.21E-2</v>
      </c>
      <c r="AO17">
        <v>1.7500000000000002E-2</v>
      </c>
      <c r="AP17">
        <v>2.1499999999999998E-2</v>
      </c>
      <c r="AQ17">
        <v>2.6700000000000002E-2</v>
      </c>
      <c r="AR17">
        <v>3.1099999999999999E-2</v>
      </c>
      <c r="AS17">
        <v>3.5499999999999997E-2</v>
      </c>
      <c r="AT17">
        <v>1.67E-2</v>
      </c>
      <c r="AU17">
        <v>2.06E-2</v>
      </c>
      <c r="AV17">
        <v>2.4500000000000001E-2</v>
      </c>
      <c r="AW17">
        <v>3.2000000000000001E-2</v>
      </c>
      <c r="AX17">
        <v>4.2099999999999999E-2</v>
      </c>
      <c r="AY17">
        <v>5.5399999999999998E-2</v>
      </c>
      <c r="AZ17">
        <v>6.8099999999999994E-2</v>
      </c>
      <c r="BA17">
        <v>7.3700000000000002E-2</v>
      </c>
    </row>
    <row r="18" spans="1:53" x14ac:dyDescent="0.3">
      <c r="A18" t="s">
        <v>17</v>
      </c>
      <c r="B18">
        <v>-2.3E-3</v>
      </c>
      <c r="C18">
        <v>-2.3E-3</v>
      </c>
      <c r="D18">
        <v>-2.3999999999999998E-3</v>
      </c>
      <c r="E18">
        <v>-2.2000000000000001E-3</v>
      </c>
      <c r="F18">
        <v>8.8000000000000005E-3</v>
      </c>
      <c r="G18">
        <v>8.0999999999999996E-3</v>
      </c>
      <c r="H18">
        <v>7.6E-3</v>
      </c>
      <c r="I18">
        <v>7.1000000000000004E-3</v>
      </c>
      <c r="J18">
        <v>7.1000000000000004E-3</v>
      </c>
      <c r="K18">
        <v>6.7000000000000002E-3</v>
      </c>
      <c r="L18">
        <v>1.7100000000000001E-2</v>
      </c>
      <c r="M18">
        <v>1.8100000000000002E-2</v>
      </c>
      <c r="N18">
        <v>1.8499999999999999E-2</v>
      </c>
      <c r="O18">
        <v>2.0199999999999999E-2</v>
      </c>
      <c r="P18">
        <v>2.24E-2</v>
      </c>
      <c r="Q18">
        <v>2.3800000000000002E-2</v>
      </c>
      <c r="R18">
        <v>2.5399999999999999E-2</v>
      </c>
      <c r="S18">
        <v>2.6700000000000002E-2</v>
      </c>
      <c r="T18">
        <v>2.69E-2</v>
      </c>
      <c r="U18">
        <v>2.7400000000000001E-2</v>
      </c>
      <c r="V18">
        <v>2.81E-2</v>
      </c>
      <c r="W18">
        <v>2.9000000000000001E-2</v>
      </c>
      <c r="X18">
        <v>2.92E-2</v>
      </c>
      <c r="Y18">
        <v>3.0099999999999998E-2</v>
      </c>
      <c r="Z18">
        <v>3.04E-2</v>
      </c>
      <c r="AA18">
        <v>2.98E-2</v>
      </c>
      <c r="AB18">
        <v>2.98E-2</v>
      </c>
      <c r="AC18">
        <v>3.0300000000000001E-2</v>
      </c>
      <c r="AD18">
        <v>2.0999999999999999E-3</v>
      </c>
      <c r="AE18">
        <v>5.0000000000000001E-4</v>
      </c>
      <c r="AF18">
        <v>8.0000000000000004E-4</v>
      </c>
      <c r="AG18">
        <v>-1E-4</v>
      </c>
      <c r="AH18">
        <v>-8.0000000000000004E-4</v>
      </c>
      <c r="AI18">
        <v>-4.0000000000000002E-4</v>
      </c>
      <c r="AJ18">
        <v>-2.8E-3</v>
      </c>
      <c r="AK18">
        <v>-3.3E-3</v>
      </c>
      <c r="AL18">
        <v>-4.5999999999999999E-3</v>
      </c>
      <c r="AM18">
        <v>-6.0000000000000001E-3</v>
      </c>
      <c r="AN18">
        <v>-6.6E-3</v>
      </c>
      <c r="AO18">
        <v>-7.3000000000000001E-3</v>
      </c>
      <c r="AP18">
        <v>-1.01E-2</v>
      </c>
      <c r="AQ18">
        <v>-1.6199999999999999E-2</v>
      </c>
      <c r="AR18">
        <v>-2.35E-2</v>
      </c>
      <c r="AS18">
        <v>-3.2399999999999998E-2</v>
      </c>
      <c r="AT18">
        <v>9.7000000000000003E-3</v>
      </c>
      <c r="AU18">
        <v>6.4999999999999997E-3</v>
      </c>
      <c r="AV18">
        <v>2.7000000000000001E-3</v>
      </c>
      <c r="AW18">
        <v>2.5000000000000001E-3</v>
      </c>
      <c r="AX18">
        <v>8.9999999999999998E-4</v>
      </c>
      <c r="AY18">
        <v>2.3E-3</v>
      </c>
      <c r="AZ18">
        <v>3.8E-3</v>
      </c>
      <c r="BA18">
        <v>4.3E-3</v>
      </c>
    </row>
    <row r="19" spans="1:53" x14ac:dyDescent="0.3">
      <c r="A19" t="s">
        <v>18</v>
      </c>
      <c r="B19">
        <v>-3.9199999999999999E-2</v>
      </c>
      <c r="C19">
        <v>-3.9199999999999999E-2</v>
      </c>
      <c r="D19">
        <v>-3.9100000000000003E-2</v>
      </c>
      <c r="E19">
        <v>-3.9100000000000003E-2</v>
      </c>
      <c r="F19">
        <v>-6.0400000000000002E-2</v>
      </c>
      <c r="G19">
        <v>-5.8599999999999999E-2</v>
      </c>
      <c r="H19">
        <v>-5.6599999999999998E-2</v>
      </c>
      <c r="I19">
        <v>-5.5300000000000002E-2</v>
      </c>
      <c r="J19">
        <v>-5.4199999999999998E-2</v>
      </c>
      <c r="K19">
        <v>-5.2200000000000003E-2</v>
      </c>
      <c r="L19">
        <v>-6.3700000000000007E-2</v>
      </c>
      <c r="M19">
        <v>-6.1600000000000002E-2</v>
      </c>
      <c r="N19">
        <v>-5.8500000000000003E-2</v>
      </c>
      <c r="O19">
        <v>-5.57E-2</v>
      </c>
      <c r="P19">
        <v>-5.2200000000000003E-2</v>
      </c>
      <c r="Q19">
        <v>-4.99E-2</v>
      </c>
      <c r="R19">
        <v>-4.6800000000000001E-2</v>
      </c>
      <c r="S19">
        <v>-4.48E-2</v>
      </c>
      <c r="T19">
        <v>-4.36E-2</v>
      </c>
      <c r="U19">
        <v>-4.3299999999999998E-2</v>
      </c>
      <c r="V19">
        <v>-4.2599999999999999E-2</v>
      </c>
      <c r="W19">
        <v>-4.24E-2</v>
      </c>
      <c r="X19">
        <v>-4.2000000000000003E-2</v>
      </c>
      <c r="Y19">
        <v>-4.2799999999999998E-2</v>
      </c>
      <c r="Z19">
        <v>-4.2999999999999997E-2</v>
      </c>
      <c r="AA19">
        <v>-4.3099999999999999E-2</v>
      </c>
      <c r="AB19">
        <v>-4.3499999999999997E-2</v>
      </c>
      <c r="AC19">
        <v>-4.3099999999999999E-2</v>
      </c>
      <c r="AD19">
        <v>-4.4999999999999997E-3</v>
      </c>
      <c r="AE19">
        <v>5.2699999999999997E-2</v>
      </c>
      <c r="AF19">
        <v>5.2900000000000003E-2</v>
      </c>
      <c r="AG19">
        <v>5.2900000000000003E-2</v>
      </c>
      <c r="AH19">
        <v>5.4300000000000001E-2</v>
      </c>
      <c r="AI19">
        <v>5.5300000000000002E-2</v>
      </c>
      <c r="AJ19">
        <v>5.4800000000000001E-2</v>
      </c>
      <c r="AK19">
        <v>5.4699999999999999E-2</v>
      </c>
      <c r="AL19">
        <v>5.4300000000000001E-2</v>
      </c>
      <c r="AM19">
        <v>5.4800000000000001E-2</v>
      </c>
      <c r="AN19">
        <v>5.5899999999999998E-2</v>
      </c>
      <c r="AO19">
        <v>5.6599999999999998E-2</v>
      </c>
      <c r="AP19">
        <v>5.6800000000000003E-2</v>
      </c>
      <c r="AQ19">
        <v>5.7599999999999998E-2</v>
      </c>
      <c r="AR19">
        <v>5.8299999999999998E-2</v>
      </c>
      <c r="AS19">
        <v>6.4299999999999996E-2</v>
      </c>
      <c r="AT19">
        <v>6.0999999999999999E-2</v>
      </c>
      <c r="AU19">
        <v>6.2100000000000002E-2</v>
      </c>
      <c r="AV19">
        <v>6.3E-2</v>
      </c>
      <c r="AW19">
        <v>6.3299999999999995E-2</v>
      </c>
      <c r="AX19">
        <v>5.74E-2</v>
      </c>
      <c r="AY19">
        <v>4.7E-2</v>
      </c>
      <c r="AZ19">
        <v>3.8300000000000001E-2</v>
      </c>
      <c r="BA19">
        <v>2.9399999999999999E-2</v>
      </c>
    </row>
    <row r="20" spans="1:53" x14ac:dyDescent="0.3">
      <c r="A20" t="s">
        <v>19</v>
      </c>
      <c r="B20">
        <v>5.6500000000000002E-2</v>
      </c>
      <c r="C20">
        <v>5.6500000000000002E-2</v>
      </c>
      <c r="D20">
        <v>5.6099999999999997E-2</v>
      </c>
      <c r="E20">
        <v>5.4600000000000003E-2</v>
      </c>
      <c r="F20">
        <v>3.7900000000000003E-2</v>
      </c>
      <c r="G20">
        <v>3.5700000000000003E-2</v>
      </c>
      <c r="H20">
        <v>3.3799999999999997E-2</v>
      </c>
      <c r="I20">
        <v>3.1699999999999999E-2</v>
      </c>
      <c r="J20">
        <v>3.0300000000000001E-2</v>
      </c>
      <c r="K20">
        <v>2.8400000000000002E-2</v>
      </c>
      <c r="L20">
        <v>4.6800000000000001E-2</v>
      </c>
      <c r="M20">
        <v>4.5100000000000001E-2</v>
      </c>
      <c r="N20">
        <v>4.41E-2</v>
      </c>
      <c r="O20">
        <v>4.2500000000000003E-2</v>
      </c>
      <c r="P20">
        <v>4.1399999999999999E-2</v>
      </c>
      <c r="Q20">
        <v>4.0399999999999998E-2</v>
      </c>
      <c r="R20">
        <v>3.8800000000000001E-2</v>
      </c>
      <c r="S20">
        <v>3.6400000000000002E-2</v>
      </c>
      <c r="T20">
        <v>3.3799999999999997E-2</v>
      </c>
      <c r="U20">
        <v>3.2000000000000001E-2</v>
      </c>
      <c r="V20">
        <v>3.04E-2</v>
      </c>
      <c r="W20">
        <v>2.9399999999999999E-2</v>
      </c>
      <c r="X20">
        <v>2.8000000000000001E-2</v>
      </c>
      <c r="Y20">
        <v>2.69E-2</v>
      </c>
      <c r="Z20">
        <v>2.5499999999999998E-2</v>
      </c>
      <c r="AA20">
        <v>2.41E-2</v>
      </c>
      <c r="AB20">
        <v>2.3E-2</v>
      </c>
      <c r="AC20">
        <v>2.1600000000000001E-2</v>
      </c>
      <c r="AD20">
        <v>-1.15E-2</v>
      </c>
      <c r="AE20">
        <v>3.7499999999999999E-2</v>
      </c>
      <c r="AF20">
        <v>3.6999999999999998E-2</v>
      </c>
      <c r="AG20">
        <v>3.8199999999999998E-2</v>
      </c>
      <c r="AH20">
        <v>4.0099999999999997E-2</v>
      </c>
      <c r="AI20">
        <v>4.1700000000000001E-2</v>
      </c>
      <c r="AJ20">
        <v>4.1200000000000001E-2</v>
      </c>
      <c r="AK20">
        <v>4.2200000000000001E-2</v>
      </c>
      <c r="AL20">
        <v>4.4600000000000001E-2</v>
      </c>
      <c r="AM20">
        <v>4.6600000000000003E-2</v>
      </c>
      <c r="AN20">
        <v>4.9500000000000002E-2</v>
      </c>
      <c r="AO20">
        <v>5.1799999999999999E-2</v>
      </c>
      <c r="AP20">
        <v>5.2999999999999999E-2</v>
      </c>
      <c r="AQ20">
        <v>5.5199999999999999E-2</v>
      </c>
      <c r="AR20">
        <v>5.4600000000000003E-2</v>
      </c>
      <c r="AS20">
        <v>5.6099999999999997E-2</v>
      </c>
      <c r="AT20">
        <v>-1.17E-2</v>
      </c>
      <c r="AU20">
        <v>-1.2200000000000001E-2</v>
      </c>
      <c r="AV20">
        <v>-8.8000000000000005E-3</v>
      </c>
      <c r="AW20">
        <v>-7.1000000000000004E-3</v>
      </c>
      <c r="AX20">
        <v>-4.4000000000000003E-3</v>
      </c>
      <c r="AY20">
        <v>-1.1999999999999999E-3</v>
      </c>
      <c r="AZ20">
        <v>-1.6000000000000001E-3</v>
      </c>
      <c r="BA20">
        <v>-4.1000000000000003E-3</v>
      </c>
    </row>
    <row r="21" spans="1:53" x14ac:dyDescent="0.3">
      <c r="A21" t="s">
        <v>20</v>
      </c>
      <c r="B21">
        <v>-0.1613</v>
      </c>
      <c r="C21">
        <v>-0.1613</v>
      </c>
      <c r="D21">
        <v>-0.1641</v>
      </c>
      <c r="E21">
        <v>-0.16819999999999999</v>
      </c>
      <c r="F21">
        <v>-0.32750000000000001</v>
      </c>
      <c r="G21">
        <v>-0.33090000000000003</v>
      </c>
      <c r="H21">
        <v>-0.33479999999999999</v>
      </c>
      <c r="I21">
        <v>-0.3392</v>
      </c>
      <c r="J21">
        <v>-0.34399999999999997</v>
      </c>
      <c r="K21">
        <v>-0.35020000000000001</v>
      </c>
      <c r="L21">
        <v>-0.31630000000000003</v>
      </c>
      <c r="M21">
        <v>-0.32479999999999998</v>
      </c>
      <c r="N21">
        <v>-0.33589999999999998</v>
      </c>
      <c r="O21">
        <v>-0.34620000000000001</v>
      </c>
      <c r="P21">
        <v>-0.35510000000000003</v>
      </c>
      <c r="Q21">
        <v>-0.36230000000000001</v>
      </c>
      <c r="R21">
        <v>-0.36770000000000003</v>
      </c>
      <c r="S21">
        <v>-0.37240000000000001</v>
      </c>
      <c r="T21">
        <v>-0.37380000000000002</v>
      </c>
      <c r="U21">
        <v>-0.37580000000000002</v>
      </c>
      <c r="V21">
        <v>-0.37630000000000002</v>
      </c>
      <c r="W21">
        <v>-0.37659999999999999</v>
      </c>
      <c r="X21">
        <v>-0.37590000000000001</v>
      </c>
      <c r="Y21">
        <v>-0.37509999999999999</v>
      </c>
      <c r="Z21">
        <v>-0.37430000000000002</v>
      </c>
      <c r="AA21">
        <v>-0.37319999999999998</v>
      </c>
      <c r="AB21">
        <v>-0.3715</v>
      </c>
      <c r="AC21">
        <v>-0.36859999999999998</v>
      </c>
      <c r="AD21">
        <v>-0.40289999999999998</v>
      </c>
      <c r="AE21">
        <v>0.37969999999999998</v>
      </c>
      <c r="AF21">
        <v>0.37959999999999999</v>
      </c>
      <c r="AG21">
        <v>0.37769999999999998</v>
      </c>
      <c r="AH21">
        <v>0.376</v>
      </c>
      <c r="AI21">
        <v>0.37430000000000002</v>
      </c>
      <c r="AJ21">
        <v>0.37169999999999997</v>
      </c>
      <c r="AK21">
        <v>0.36820000000000003</v>
      </c>
      <c r="AL21">
        <v>0.36349999999999999</v>
      </c>
      <c r="AM21">
        <v>0.35589999999999999</v>
      </c>
      <c r="AN21">
        <v>0.3503</v>
      </c>
      <c r="AO21">
        <v>0.33850000000000002</v>
      </c>
      <c r="AP21">
        <v>0.32400000000000001</v>
      </c>
      <c r="AQ21">
        <v>0.30359999999999998</v>
      </c>
      <c r="AR21">
        <v>0.27679999999999999</v>
      </c>
      <c r="AS21">
        <v>0.23910000000000001</v>
      </c>
      <c r="AT21">
        <v>-4.0000000000000002E-4</v>
      </c>
      <c r="AU21">
        <v>-8.5000000000000006E-3</v>
      </c>
      <c r="AV21">
        <v>-1.7500000000000002E-2</v>
      </c>
      <c r="AW21">
        <v>-2.7400000000000001E-2</v>
      </c>
      <c r="AX21">
        <v>-3.7199999999999997E-2</v>
      </c>
      <c r="AY21">
        <v>-4.3400000000000001E-2</v>
      </c>
      <c r="AZ21">
        <v>-4.3099999999999999E-2</v>
      </c>
      <c r="BA21">
        <v>-3.1300000000000001E-2</v>
      </c>
    </row>
    <row r="22" spans="1:53" x14ac:dyDescent="0.3">
      <c r="A22" t="s">
        <v>21</v>
      </c>
      <c r="B22">
        <v>-3.9300000000000002E-2</v>
      </c>
      <c r="C22">
        <v>-3.9300000000000002E-2</v>
      </c>
      <c r="D22">
        <v>-4.0399999999999998E-2</v>
      </c>
      <c r="E22">
        <v>-4.1000000000000002E-2</v>
      </c>
      <c r="F22">
        <v>-3.1300000000000001E-2</v>
      </c>
      <c r="G22">
        <v>-3.0800000000000001E-2</v>
      </c>
      <c r="H22">
        <v>-2.9600000000000001E-2</v>
      </c>
      <c r="I22">
        <v>-2.7E-2</v>
      </c>
      <c r="J22">
        <v>-2.4799999999999999E-2</v>
      </c>
      <c r="K22">
        <v>-2.3E-2</v>
      </c>
      <c r="L22">
        <v>-1.6199999999999999E-2</v>
      </c>
      <c r="M22">
        <v>-1.4E-2</v>
      </c>
      <c r="N22">
        <v>-1.0800000000000001E-2</v>
      </c>
      <c r="O22">
        <v>-7.7999999999999996E-3</v>
      </c>
      <c r="P22">
        <v>-5.4000000000000003E-3</v>
      </c>
      <c r="Q22">
        <v>-3.5000000000000001E-3</v>
      </c>
      <c r="R22">
        <v>-2.3999999999999998E-3</v>
      </c>
      <c r="S22">
        <v>-1.1000000000000001E-3</v>
      </c>
      <c r="T22">
        <v>-8.0000000000000004E-4</v>
      </c>
      <c r="U22">
        <v>-4.0000000000000002E-4</v>
      </c>
      <c r="V22">
        <v>-2.9999999999999997E-4</v>
      </c>
      <c r="W22">
        <v>-2.9999999999999997E-4</v>
      </c>
      <c r="X22">
        <v>-6.9999999999999999E-4</v>
      </c>
      <c r="Y22">
        <v>-1.2999999999999999E-3</v>
      </c>
      <c r="Z22">
        <v>-1.2999999999999999E-3</v>
      </c>
      <c r="AA22">
        <v>-2.2000000000000001E-3</v>
      </c>
      <c r="AB22">
        <v>-3.0999999999999999E-3</v>
      </c>
      <c r="AC22">
        <v>-3.2000000000000002E-3</v>
      </c>
      <c r="AD22">
        <v>0.1181</v>
      </c>
      <c r="AE22">
        <v>0.3972</v>
      </c>
      <c r="AF22">
        <v>0.41189999999999999</v>
      </c>
      <c r="AG22">
        <v>0.42859999999999998</v>
      </c>
      <c r="AH22">
        <v>0.44590000000000002</v>
      </c>
      <c r="AI22">
        <v>0.46539999999999998</v>
      </c>
      <c r="AJ22">
        <v>0.48649999999999999</v>
      </c>
      <c r="AK22">
        <v>0.50829999999999997</v>
      </c>
      <c r="AL22">
        <v>0.5343</v>
      </c>
      <c r="AM22">
        <v>0.56320000000000003</v>
      </c>
      <c r="AN22">
        <v>0.59370000000000001</v>
      </c>
      <c r="AO22">
        <v>0.63139999999999996</v>
      </c>
      <c r="AP22">
        <v>0.67610000000000003</v>
      </c>
      <c r="AQ22">
        <v>0.72709999999999997</v>
      </c>
      <c r="AR22">
        <v>0.78469999999999995</v>
      </c>
      <c r="AS22">
        <v>0.84540000000000004</v>
      </c>
      <c r="AT22">
        <v>8.6099999999999996E-2</v>
      </c>
      <c r="AU22">
        <v>8.48E-2</v>
      </c>
      <c r="AV22">
        <v>8.1900000000000001E-2</v>
      </c>
      <c r="AW22">
        <v>7.6499999999999999E-2</v>
      </c>
      <c r="AX22">
        <v>7.1499999999999994E-2</v>
      </c>
      <c r="AY22">
        <v>5.5500000000000001E-2</v>
      </c>
      <c r="AZ22">
        <v>2.5100000000000001E-2</v>
      </c>
      <c r="BA22">
        <v>-1.5900000000000001E-2</v>
      </c>
    </row>
    <row r="23" spans="1:53" x14ac:dyDescent="0.3">
      <c r="A23" t="s">
        <v>22</v>
      </c>
      <c r="B23">
        <v>7.0999999999999994E-2</v>
      </c>
      <c r="C23">
        <v>7.0999999999999994E-2</v>
      </c>
      <c r="D23">
        <v>7.1400000000000005E-2</v>
      </c>
      <c r="E23">
        <v>7.2300000000000003E-2</v>
      </c>
      <c r="F23">
        <v>8.3500000000000005E-2</v>
      </c>
      <c r="G23">
        <v>8.4199999999999997E-2</v>
      </c>
      <c r="H23">
        <v>8.5400000000000004E-2</v>
      </c>
      <c r="I23">
        <v>8.6599999999999996E-2</v>
      </c>
      <c r="J23">
        <v>8.7800000000000003E-2</v>
      </c>
      <c r="K23">
        <v>8.8999999999999996E-2</v>
      </c>
      <c r="L23">
        <v>9.4200000000000006E-2</v>
      </c>
      <c r="M23">
        <v>9.6600000000000005E-2</v>
      </c>
      <c r="N23">
        <v>9.6100000000000005E-2</v>
      </c>
      <c r="O23">
        <v>9.5699999999999993E-2</v>
      </c>
      <c r="P23">
        <v>9.4399999999999998E-2</v>
      </c>
      <c r="Q23">
        <v>9.2899999999999996E-2</v>
      </c>
      <c r="R23">
        <v>9.1300000000000006E-2</v>
      </c>
      <c r="S23">
        <v>9.0700000000000003E-2</v>
      </c>
      <c r="T23">
        <v>9.11E-2</v>
      </c>
      <c r="U23">
        <v>9.2200000000000004E-2</v>
      </c>
      <c r="V23">
        <v>9.2100000000000001E-2</v>
      </c>
      <c r="W23">
        <v>9.2600000000000002E-2</v>
      </c>
      <c r="X23">
        <v>9.2999999999999999E-2</v>
      </c>
      <c r="Y23">
        <v>9.3200000000000005E-2</v>
      </c>
      <c r="Z23">
        <v>9.3600000000000003E-2</v>
      </c>
      <c r="AA23">
        <v>9.4500000000000001E-2</v>
      </c>
      <c r="AB23">
        <v>9.5899999999999999E-2</v>
      </c>
      <c r="AC23">
        <v>9.7199999999999995E-2</v>
      </c>
      <c r="AD23">
        <v>3.5999999999999997E-2</v>
      </c>
      <c r="AE23">
        <v>-4.65E-2</v>
      </c>
      <c r="AF23">
        <v>-4.5699999999999998E-2</v>
      </c>
      <c r="AG23">
        <v>-4.3700000000000003E-2</v>
      </c>
      <c r="AH23">
        <v>-4.1599999999999998E-2</v>
      </c>
      <c r="AI23">
        <v>-3.9300000000000002E-2</v>
      </c>
      <c r="AJ23">
        <v>-3.6600000000000001E-2</v>
      </c>
      <c r="AK23">
        <v>-3.4799999999999998E-2</v>
      </c>
      <c r="AL23">
        <v>-0.03</v>
      </c>
      <c r="AM23">
        <v>-2.5600000000000001E-2</v>
      </c>
      <c r="AN23">
        <v>-2.1000000000000001E-2</v>
      </c>
      <c r="AO23">
        <v>-1.8100000000000002E-2</v>
      </c>
      <c r="AP23">
        <v>-1.06E-2</v>
      </c>
      <c r="AQ23">
        <v>-4.4999999999999997E-3</v>
      </c>
      <c r="AR23">
        <v>-2.9999999999999997E-4</v>
      </c>
      <c r="AS23">
        <v>8.0999999999999996E-3</v>
      </c>
      <c r="AT23">
        <v>-6.2899999999999998E-2</v>
      </c>
      <c r="AU23">
        <v>-6.3799999999999996E-2</v>
      </c>
      <c r="AV23">
        <v>-6.4299999999999996E-2</v>
      </c>
      <c r="AW23">
        <v>-5.9200000000000003E-2</v>
      </c>
      <c r="AX23">
        <v>-5.3699999999999998E-2</v>
      </c>
      <c r="AY23">
        <v>-4.2999999999999997E-2</v>
      </c>
      <c r="AZ23">
        <v>-2.5100000000000001E-2</v>
      </c>
      <c r="BA23">
        <v>1E-4</v>
      </c>
    </row>
    <row r="24" spans="1:53" x14ac:dyDescent="0.3">
      <c r="A24" t="s">
        <v>23</v>
      </c>
      <c r="B24">
        <v>9.5699999999999993E-2</v>
      </c>
      <c r="C24">
        <v>9.5699999999999993E-2</v>
      </c>
      <c r="D24">
        <v>9.4600000000000004E-2</v>
      </c>
      <c r="E24">
        <v>9.3399999999999997E-2</v>
      </c>
      <c r="F24">
        <v>9.0999999999999998E-2</v>
      </c>
      <c r="G24">
        <v>9.1499999999999998E-2</v>
      </c>
      <c r="H24">
        <v>9.0300000000000005E-2</v>
      </c>
      <c r="I24">
        <v>9.1499999999999998E-2</v>
      </c>
      <c r="J24">
        <v>9.1399999999999995E-2</v>
      </c>
      <c r="K24">
        <v>9.0999999999999998E-2</v>
      </c>
      <c r="L24">
        <v>9.35E-2</v>
      </c>
      <c r="M24">
        <v>9.3399999999999997E-2</v>
      </c>
      <c r="N24">
        <v>9.3600000000000003E-2</v>
      </c>
      <c r="O24">
        <v>9.4500000000000001E-2</v>
      </c>
      <c r="P24">
        <v>9.5699999999999993E-2</v>
      </c>
      <c r="Q24">
        <v>9.5100000000000004E-2</v>
      </c>
      <c r="R24">
        <v>9.4899999999999998E-2</v>
      </c>
      <c r="S24">
        <v>9.4500000000000001E-2</v>
      </c>
      <c r="T24">
        <v>9.35E-2</v>
      </c>
      <c r="U24">
        <v>9.2499999999999999E-2</v>
      </c>
      <c r="V24">
        <v>9.1499999999999998E-2</v>
      </c>
      <c r="W24">
        <v>9.01E-2</v>
      </c>
      <c r="X24">
        <v>8.8400000000000006E-2</v>
      </c>
      <c r="Y24">
        <v>8.6300000000000002E-2</v>
      </c>
      <c r="Z24">
        <v>8.43E-2</v>
      </c>
      <c r="AA24">
        <v>8.2199999999999995E-2</v>
      </c>
      <c r="AB24">
        <v>8.0199999999999994E-2</v>
      </c>
      <c r="AC24">
        <v>7.7399999999999997E-2</v>
      </c>
      <c r="AD24">
        <v>1.5800000000000002E-2</v>
      </c>
      <c r="AE24">
        <v>2.5000000000000001E-2</v>
      </c>
      <c r="AF24">
        <v>2.3E-2</v>
      </c>
      <c r="AG24">
        <v>2.2200000000000001E-2</v>
      </c>
      <c r="AH24">
        <v>2.1000000000000001E-2</v>
      </c>
      <c r="AI24">
        <v>1.83E-2</v>
      </c>
      <c r="AJ24">
        <v>1.7299999999999999E-2</v>
      </c>
      <c r="AK24">
        <v>1.47E-2</v>
      </c>
      <c r="AL24">
        <v>1.26E-2</v>
      </c>
      <c r="AM24">
        <v>1.03E-2</v>
      </c>
      <c r="AN24">
        <v>8.6999999999999994E-3</v>
      </c>
      <c r="AO24">
        <v>5.4000000000000003E-3</v>
      </c>
      <c r="AP24">
        <v>3.8999999999999998E-3</v>
      </c>
      <c r="AQ24">
        <v>2.0000000000000001E-4</v>
      </c>
      <c r="AR24">
        <v>-4.5999999999999999E-3</v>
      </c>
      <c r="AS24">
        <v>-8.3999999999999995E-3</v>
      </c>
      <c r="AT24">
        <v>8.8499999999999995E-2</v>
      </c>
      <c r="AU24">
        <v>8.6300000000000002E-2</v>
      </c>
      <c r="AV24">
        <v>8.3699999999999997E-2</v>
      </c>
      <c r="AW24">
        <v>8.0100000000000005E-2</v>
      </c>
      <c r="AX24">
        <v>7.0000000000000007E-2</v>
      </c>
      <c r="AY24">
        <v>5.1299999999999998E-2</v>
      </c>
      <c r="AZ24">
        <v>2.76E-2</v>
      </c>
      <c r="BA24">
        <v>-2.3400000000000001E-2</v>
      </c>
    </row>
    <row r="25" spans="1:53" x14ac:dyDescent="0.3">
      <c r="A25" t="s">
        <v>24</v>
      </c>
      <c r="B25">
        <v>6.59E-2</v>
      </c>
      <c r="C25">
        <v>6.59E-2</v>
      </c>
      <c r="D25">
        <v>6.7000000000000004E-2</v>
      </c>
      <c r="E25">
        <v>6.6799999999999998E-2</v>
      </c>
      <c r="F25">
        <v>-4.1000000000000003E-3</v>
      </c>
      <c r="G25">
        <v>-3.0999999999999999E-3</v>
      </c>
      <c r="H25">
        <v>-1.6999999999999999E-3</v>
      </c>
      <c r="I25">
        <v>8.9999999999999998E-4</v>
      </c>
      <c r="J25">
        <v>3.7000000000000002E-3</v>
      </c>
      <c r="K25">
        <v>6.6E-3</v>
      </c>
      <c r="L25">
        <v>-6.7400000000000002E-2</v>
      </c>
      <c r="M25">
        <v>-6.3100000000000003E-2</v>
      </c>
      <c r="N25">
        <v>-5.6500000000000002E-2</v>
      </c>
      <c r="O25">
        <v>-5.0099999999999999E-2</v>
      </c>
      <c r="P25">
        <v>-4.2999999999999997E-2</v>
      </c>
      <c r="Q25">
        <v>-3.7900000000000003E-2</v>
      </c>
      <c r="R25">
        <v>-3.3599999999999998E-2</v>
      </c>
      <c r="S25">
        <v>-2.9499999999999998E-2</v>
      </c>
      <c r="T25">
        <v>-2.7199999999999998E-2</v>
      </c>
      <c r="U25">
        <v>-2.4299999999999999E-2</v>
      </c>
      <c r="V25">
        <v>-2.3300000000000001E-2</v>
      </c>
      <c r="W25">
        <v>-2.35E-2</v>
      </c>
      <c r="X25">
        <v>-2.2700000000000001E-2</v>
      </c>
      <c r="Y25">
        <v>-2.23E-2</v>
      </c>
      <c r="Z25">
        <v>-2.1999999999999999E-2</v>
      </c>
      <c r="AA25">
        <v>-2.1899999999999999E-2</v>
      </c>
      <c r="AB25">
        <v>-2.2100000000000002E-2</v>
      </c>
      <c r="AC25">
        <v>-2.2499999999999999E-2</v>
      </c>
      <c r="AD25">
        <v>3.3700000000000001E-2</v>
      </c>
      <c r="AE25">
        <v>-2.7900000000000001E-2</v>
      </c>
      <c r="AF25">
        <v>-2.75E-2</v>
      </c>
      <c r="AG25">
        <v>-2.75E-2</v>
      </c>
      <c r="AH25">
        <v>-2.76E-2</v>
      </c>
      <c r="AI25">
        <v>-2.64E-2</v>
      </c>
      <c r="AJ25">
        <v>-2.75E-2</v>
      </c>
      <c r="AK25">
        <v>-2.75E-2</v>
      </c>
      <c r="AL25">
        <v>-2.7300000000000001E-2</v>
      </c>
      <c r="AM25">
        <v>-2.7300000000000001E-2</v>
      </c>
      <c r="AN25">
        <v>-2.7E-2</v>
      </c>
      <c r="AO25">
        <v>-2.6700000000000002E-2</v>
      </c>
      <c r="AP25">
        <v>-2.4199999999999999E-2</v>
      </c>
      <c r="AQ25">
        <v>-0.02</v>
      </c>
      <c r="AR25">
        <v>-1.1900000000000001E-2</v>
      </c>
      <c r="AS25">
        <v>-1.2999999999999999E-3</v>
      </c>
      <c r="AT25">
        <v>-3.0800000000000001E-2</v>
      </c>
      <c r="AU25">
        <v>-3.0800000000000001E-2</v>
      </c>
      <c r="AV25">
        <v>-3.0800000000000001E-2</v>
      </c>
      <c r="AW25">
        <v>-2.93E-2</v>
      </c>
      <c r="AX25">
        <v>-2.3699999999999999E-2</v>
      </c>
      <c r="AY25">
        <v>-1.9599999999999999E-2</v>
      </c>
      <c r="AZ25">
        <v>-2.3199999999999998E-2</v>
      </c>
      <c r="BA25">
        <v>-1.54E-2</v>
      </c>
    </row>
    <row r="26" spans="1:53" x14ac:dyDescent="0.3">
      <c r="A26" t="s">
        <v>25</v>
      </c>
      <c r="B26">
        <v>0.16880000000000001</v>
      </c>
      <c r="C26">
        <v>0.16880000000000001</v>
      </c>
      <c r="D26">
        <v>0.1716</v>
      </c>
      <c r="E26">
        <v>0.17430000000000001</v>
      </c>
      <c r="F26">
        <v>0.18559999999999999</v>
      </c>
      <c r="G26">
        <v>0.18859999999999999</v>
      </c>
      <c r="H26">
        <v>0.19209999999999999</v>
      </c>
      <c r="I26">
        <v>0.19470000000000001</v>
      </c>
      <c r="J26">
        <v>0.1988</v>
      </c>
      <c r="K26">
        <v>0.2031</v>
      </c>
      <c r="L26">
        <v>-2.81E-2</v>
      </c>
      <c r="M26">
        <v>-2.6599999999999999E-2</v>
      </c>
      <c r="N26">
        <v>-2.46E-2</v>
      </c>
      <c r="O26">
        <v>-2.3199999999999998E-2</v>
      </c>
      <c r="P26">
        <v>-2.0500000000000001E-2</v>
      </c>
      <c r="Q26">
        <v>-1.8499999999999999E-2</v>
      </c>
      <c r="R26">
        <v>-1.7399999999999999E-2</v>
      </c>
      <c r="S26">
        <v>-1.6400000000000001E-2</v>
      </c>
      <c r="T26">
        <v>-1.5699999999999999E-2</v>
      </c>
      <c r="U26">
        <v>-1.4E-2</v>
      </c>
      <c r="V26">
        <v>-1.3299999999999999E-2</v>
      </c>
      <c r="W26">
        <v>-1.26E-2</v>
      </c>
      <c r="X26">
        <v>-1.1599999999999999E-2</v>
      </c>
      <c r="Y26">
        <v>-1.0999999999999999E-2</v>
      </c>
      <c r="Z26">
        <v>-0.01</v>
      </c>
      <c r="AA26">
        <v>-8.9999999999999993E-3</v>
      </c>
      <c r="AB26">
        <v>-7.7000000000000002E-3</v>
      </c>
      <c r="AC26">
        <v>-6.4999999999999997E-3</v>
      </c>
      <c r="AD26">
        <v>-3.7100000000000001E-2</v>
      </c>
      <c r="AE26">
        <v>-0.1283</v>
      </c>
      <c r="AF26">
        <v>-0.1293</v>
      </c>
      <c r="AG26">
        <v>-0.129</v>
      </c>
      <c r="AH26">
        <v>-0.12889999999999999</v>
      </c>
      <c r="AI26">
        <v>-0.12790000000000001</v>
      </c>
      <c r="AJ26">
        <v>-0.12809999999999999</v>
      </c>
      <c r="AK26">
        <v>-0.1273</v>
      </c>
      <c r="AL26">
        <v>-0.126</v>
      </c>
      <c r="AM26">
        <v>-0.1242</v>
      </c>
      <c r="AN26">
        <v>-0.1216</v>
      </c>
      <c r="AO26">
        <v>-0.1177</v>
      </c>
      <c r="AP26">
        <v>-0.1139</v>
      </c>
      <c r="AQ26">
        <v>-0.1094</v>
      </c>
      <c r="AR26">
        <v>-0.1007</v>
      </c>
      <c r="AS26">
        <v>-8.5900000000000004E-2</v>
      </c>
      <c r="AT26">
        <v>-5.1400000000000001E-2</v>
      </c>
      <c r="AU26">
        <v>-5.04E-2</v>
      </c>
      <c r="AV26">
        <v>-4.6300000000000001E-2</v>
      </c>
      <c r="AW26">
        <v>-4.2500000000000003E-2</v>
      </c>
      <c r="AX26">
        <v>-3.4599999999999999E-2</v>
      </c>
      <c r="AY26">
        <v>-2.2499999999999999E-2</v>
      </c>
      <c r="AZ26">
        <v>-7.3000000000000001E-3</v>
      </c>
      <c r="BA26">
        <v>1.5599999999999999E-2</v>
      </c>
    </row>
    <row r="27" spans="1:53" x14ac:dyDescent="0.3">
      <c r="A27" t="s">
        <v>26</v>
      </c>
      <c r="B27">
        <v>-5.5399999999999998E-2</v>
      </c>
      <c r="C27">
        <v>-5.5399999999999998E-2</v>
      </c>
      <c r="D27">
        <v>-5.7099999999999998E-2</v>
      </c>
      <c r="E27">
        <v>-6.0699999999999997E-2</v>
      </c>
      <c r="F27">
        <v>-4.9700000000000001E-2</v>
      </c>
      <c r="G27">
        <v>-5.0700000000000002E-2</v>
      </c>
      <c r="H27">
        <v>-5.11E-2</v>
      </c>
      <c r="I27">
        <v>-5.2299999999999999E-2</v>
      </c>
      <c r="J27">
        <v>-5.2699999999999997E-2</v>
      </c>
      <c r="K27">
        <v>-5.2699999999999997E-2</v>
      </c>
      <c r="L27">
        <v>-6.8599999999999994E-2</v>
      </c>
      <c r="M27">
        <v>-6.9000000000000006E-2</v>
      </c>
      <c r="N27">
        <v>-7.0599999999999996E-2</v>
      </c>
      <c r="O27">
        <v>-7.2499999999999995E-2</v>
      </c>
      <c r="P27">
        <v>-7.2999999999999995E-2</v>
      </c>
      <c r="Q27">
        <v>-7.4200000000000002E-2</v>
      </c>
      <c r="R27">
        <v>-7.3400000000000007E-2</v>
      </c>
      <c r="S27">
        <v>-7.2700000000000001E-2</v>
      </c>
      <c r="T27">
        <v>-7.1900000000000006E-2</v>
      </c>
      <c r="U27">
        <v>-7.1300000000000002E-2</v>
      </c>
      <c r="V27">
        <v>-7.0400000000000004E-2</v>
      </c>
      <c r="W27">
        <v>-7.0699999999999999E-2</v>
      </c>
      <c r="X27">
        <v>-7.0599999999999996E-2</v>
      </c>
      <c r="Y27">
        <v>-7.0400000000000004E-2</v>
      </c>
      <c r="Z27">
        <v>-7.0000000000000007E-2</v>
      </c>
      <c r="AA27">
        <v>-7.0300000000000001E-2</v>
      </c>
      <c r="AB27">
        <v>-7.0099999999999996E-2</v>
      </c>
      <c r="AC27">
        <v>-7.0099999999999996E-2</v>
      </c>
      <c r="AD27">
        <v>2.8E-3</v>
      </c>
      <c r="AE27">
        <v>7.6200000000000004E-2</v>
      </c>
      <c r="AF27">
        <v>7.6200000000000004E-2</v>
      </c>
      <c r="AG27">
        <v>7.6399999999999996E-2</v>
      </c>
      <c r="AH27">
        <v>7.6700000000000004E-2</v>
      </c>
      <c r="AI27">
        <v>7.6300000000000007E-2</v>
      </c>
      <c r="AJ27">
        <v>7.5499999999999998E-2</v>
      </c>
      <c r="AK27">
        <v>7.4499999999999997E-2</v>
      </c>
      <c r="AL27">
        <v>7.1999999999999995E-2</v>
      </c>
      <c r="AM27">
        <v>6.9500000000000006E-2</v>
      </c>
      <c r="AN27">
        <v>6.7699999999999996E-2</v>
      </c>
      <c r="AO27">
        <v>6.4799999999999996E-2</v>
      </c>
      <c r="AP27">
        <v>5.8599999999999999E-2</v>
      </c>
      <c r="AQ27">
        <v>5.6000000000000001E-2</v>
      </c>
      <c r="AR27">
        <v>4.99E-2</v>
      </c>
      <c r="AS27">
        <v>4.0300000000000002E-2</v>
      </c>
      <c r="AT27">
        <v>7.4999999999999997E-2</v>
      </c>
      <c r="AU27">
        <v>7.5600000000000001E-2</v>
      </c>
      <c r="AV27">
        <v>7.5999999999999998E-2</v>
      </c>
      <c r="AW27">
        <v>7.6700000000000004E-2</v>
      </c>
      <c r="AX27">
        <v>7.6200000000000004E-2</v>
      </c>
      <c r="AY27">
        <v>7.4899999999999994E-2</v>
      </c>
      <c r="AZ27">
        <v>7.4899999999999994E-2</v>
      </c>
      <c r="BA27">
        <v>5.3900000000000003E-2</v>
      </c>
    </row>
    <row r="28" spans="1:53" x14ac:dyDescent="0.3">
      <c r="A28" t="s">
        <v>27</v>
      </c>
      <c r="B28">
        <v>-1.9400000000000001E-2</v>
      </c>
      <c r="C28">
        <v>-1.9400000000000001E-2</v>
      </c>
      <c r="D28">
        <v>-2.01E-2</v>
      </c>
      <c r="E28">
        <v>-1.9400000000000001E-2</v>
      </c>
      <c r="F28">
        <v>-1.7299999999999999E-2</v>
      </c>
      <c r="G28">
        <v>-1.72E-2</v>
      </c>
      <c r="H28">
        <v>-1.66E-2</v>
      </c>
      <c r="I28">
        <v>-1.6899999999999998E-2</v>
      </c>
      <c r="J28">
        <v>-1.7100000000000001E-2</v>
      </c>
      <c r="K28">
        <v>-1.67E-2</v>
      </c>
      <c r="L28">
        <v>-1.5900000000000001E-2</v>
      </c>
      <c r="M28">
        <v>-1.67E-2</v>
      </c>
      <c r="N28">
        <v>-1.8800000000000001E-2</v>
      </c>
      <c r="O28">
        <v>-2.0500000000000001E-2</v>
      </c>
      <c r="P28">
        <v>-2.24E-2</v>
      </c>
      <c r="Q28">
        <v>-2.4199999999999999E-2</v>
      </c>
      <c r="R28">
        <v>-2.5100000000000001E-2</v>
      </c>
      <c r="S28">
        <v>-2.5600000000000001E-2</v>
      </c>
      <c r="T28">
        <v>-2.4899999999999999E-2</v>
      </c>
      <c r="U28">
        <v>-2.41E-2</v>
      </c>
      <c r="V28">
        <v>-2.3099999999999999E-2</v>
      </c>
      <c r="W28">
        <v>-2.2100000000000002E-2</v>
      </c>
      <c r="X28">
        <v>-2.1499999999999998E-2</v>
      </c>
      <c r="Y28">
        <v>-2.0299999999999999E-2</v>
      </c>
      <c r="Z28">
        <v>-1.9E-2</v>
      </c>
      <c r="AA28">
        <v>-1.83E-2</v>
      </c>
      <c r="AB28">
        <v>-1.78E-2</v>
      </c>
      <c r="AC28">
        <v>-1.6899999999999998E-2</v>
      </c>
      <c r="AD28">
        <v>-6.3700000000000007E-2</v>
      </c>
      <c r="AE28">
        <v>7.3099999999999998E-2</v>
      </c>
      <c r="AF28">
        <v>7.3200000000000001E-2</v>
      </c>
      <c r="AG28">
        <v>7.3999999999999996E-2</v>
      </c>
      <c r="AH28">
        <v>7.4800000000000005E-2</v>
      </c>
      <c r="AI28">
        <v>7.5300000000000006E-2</v>
      </c>
      <c r="AJ28">
        <v>7.6200000000000004E-2</v>
      </c>
      <c r="AK28">
        <v>7.4499999999999997E-2</v>
      </c>
      <c r="AL28">
        <v>7.4099999999999999E-2</v>
      </c>
      <c r="AM28">
        <v>7.51E-2</v>
      </c>
      <c r="AN28">
        <v>7.51E-2</v>
      </c>
      <c r="AO28">
        <v>7.2999999999999995E-2</v>
      </c>
      <c r="AP28">
        <v>6.8699999999999997E-2</v>
      </c>
      <c r="AQ28">
        <v>6.3299999999999995E-2</v>
      </c>
      <c r="AR28">
        <v>5.74E-2</v>
      </c>
      <c r="AS28">
        <v>4.8599999999999997E-2</v>
      </c>
      <c r="AT28">
        <v>2.1299999999999999E-2</v>
      </c>
      <c r="AU28">
        <v>2.23E-2</v>
      </c>
      <c r="AV28">
        <v>2.2800000000000001E-2</v>
      </c>
      <c r="AW28">
        <v>2.4E-2</v>
      </c>
      <c r="AX28">
        <v>2.1600000000000001E-2</v>
      </c>
      <c r="AY28">
        <v>1.89E-2</v>
      </c>
      <c r="AZ28">
        <v>8.0000000000000002E-3</v>
      </c>
      <c r="BA28">
        <v>-4.0000000000000001E-3</v>
      </c>
    </row>
    <row r="29" spans="1:53" x14ac:dyDescent="0.3">
      <c r="A29" t="s">
        <v>28</v>
      </c>
      <c r="B29">
        <v>-0.2898</v>
      </c>
      <c r="C29">
        <v>-0.2898</v>
      </c>
      <c r="D29">
        <v>-0.29039999999999999</v>
      </c>
      <c r="E29">
        <v>-0.28910000000000002</v>
      </c>
      <c r="F29">
        <v>1.7299999999999999E-2</v>
      </c>
      <c r="G29">
        <v>1.77E-2</v>
      </c>
      <c r="H29">
        <v>1.7000000000000001E-2</v>
      </c>
      <c r="I29">
        <v>1.5800000000000002E-2</v>
      </c>
      <c r="J29">
        <v>1.5100000000000001E-2</v>
      </c>
      <c r="K29">
        <v>1.41E-2</v>
      </c>
      <c r="L29">
        <v>8.6E-3</v>
      </c>
      <c r="M29">
        <v>7.7999999999999996E-3</v>
      </c>
      <c r="N29">
        <v>7.1000000000000004E-3</v>
      </c>
      <c r="O29">
        <v>6.3E-3</v>
      </c>
      <c r="P29">
        <v>5.7000000000000002E-3</v>
      </c>
      <c r="Q29">
        <v>4.4000000000000003E-3</v>
      </c>
      <c r="R29">
        <v>3.8E-3</v>
      </c>
      <c r="S29">
        <v>3.2000000000000002E-3</v>
      </c>
      <c r="T29">
        <v>2.3999999999999998E-3</v>
      </c>
      <c r="U29">
        <v>1.6999999999999999E-3</v>
      </c>
      <c r="V29">
        <v>8.9999999999999998E-4</v>
      </c>
      <c r="W29">
        <v>8.9999999999999998E-4</v>
      </c>
      <c r="X29">
        <v>1.1000000000000001E-3</v>
      </c>
      <c r="Y29">
        <v>5.9999999999999995E-4</v>
      </c>
      <c r="Z29">
        <v>1.1999999999999999E-3</v>
      </c>
      <c r="AA29">
        <v>1.9E-3</v>
      </c>
      <c r="AB29">
        <v>2.5000000000000001E-3</v>
      </c>
      <c r="AC29">
        <v>2.3999999999999998E-3</v>
      </c>
      <c r="AD29">
        <v>1.23E-2</v>
      </c>
      <c r="AE29">
        <v>5.74E-2</v>
      </c>
      <c r="AF29">
        <v>5.7299999999999997E-2</v>
      </c>
      <c r="AG29">
        <v>5.6300000000000003E-2</v>
      </c>
      <c r="AH29">
        <v>5.4899999999999997E-2</v>
      </c>
      <c r="AI29">
        <v>5.3499999999999999E-2</v>
      </c>
      <c r="AJ29">
        <v>5.2999999999999999E-2</v>
      </c>
      <c r="AK29">
        <v>5.1799999999999999E-2</v>
      </c>
      <c r="AL29">
        <v>4.9399999999999999E-2</v>
      </c>
      <c r="AM29">
        <v>4.7600000000000003E-2</v>
      </c>
      <c r="AN29">
        <v>4.6600000000000003E-2</v>
      </c>
      <c r="AO29">
        <v>4.5199999999999997E-2</v>
      </c>
      <c r="AP29">
        <v>3.85E-2</v>
      </c>
      <c r="AQ29">
        <v>3.27E-2</v>
      </c>
      <c r="AR29">
        <v>2.7300000000000001E-2</v>
      </c>
      <c r="AS29">
        <v>1.72E-2</v>
      </c>
      <c r="AT29">
        <v>8.5400000000000004E-2</v>
      </c>
      <c r="AU29">
        <v>8.6099999999999996E-2</v>
      </c>
      <c r="AV29">
        <v>8.5800000000000001E-2</v>
      </c>
      <c r="AW29">
        <v>8.3000000000000004E-2</v>
      </c>
      <c r="AX29">
        <v>7.1400000000000005E-2</v>
      </c>
      <c r="AY29">
        <v>5.0299999999999997E-2</v>
      </c>
      <c r="AZ29">
        <v>8.8000000000000005E-3</v>
      </c>
      <c r="BA29">
        <v>-7.2400000000000006E-2</v>
      </c>
    </row>
    <row r="30" spans="1:53" x14ac:dyDescent="0.3">
      <c r="A30" t="s">
        <v>29</v>
      </c>
      <c r="B30">
        <v>0.1037</v>
      </c>
      <c r="C30">
        <v>0.1037</v>
      </c>
      <c r="D30">
        <v>0.1038</v>
      </c>
      <c r="E30">
        <v>0.10390000000000001</v>
      </c>
      <c r="F30">
        <v>1.5299999999999999E-2</v>
      </c>
      <c r="G30">
        <v>1.44E-2</v>
      </c>
      <c r="H30">
        <v>1.1599999999999999E-2</v>
      </c>
      <c r="I30">
        <v>8.5000000000000006E-3</v>
      </c>
      <c r="J30">
        <v>5.3E-3</v>
      </c>
      <c r="K30">
        <v>2.3E-3</v>
      </c>
      <c r="L30">
        <v>1.49E-2</v>
      </c>
      <c r="M30">
        <v>1.1900000000000001E-2</v>
      </c>
      <c r="N30">
        <v>8.6999999999999994E-3</v>
      </c>
      <c r="O30">
        <v>5.7999999999999996E-3</v>
      </c>
      <c r="P30">
        <v>2.8999999999999998E-3</v>
      </c>
      <c r="Q30">
        <v>5.9999999999999995E-4</v>
      </c>
      <c r="R30">
        <v>-1.4E-3</v>
      </c>
      <c r="S30">
        <v>-4.1000000000000003E-3</v>
      </c>
      <c r="T30">
        <v>-5.7000000000000002E-3</v>
      </c>
      <c r="U30">
        <v>-7.9000000000000008E-3</v>
      </c>
      <c r="V30">
        <v>-1.0500000000000001E-2</v>
      </c>
      <c r="W30">
        <v>-1.23E-2</v>
      </c>
      <c r="X30">
        <v>-1.37E-2</v>
      </c>
      <c r="Y30">
        <v>-1.54E-2</v>
      </c>
      <c r="Z30">
        <v>-1.7000000000000001E-2</v>
      </c>
      <c r="AA30">
        <v>-1.8700000000000001E-2</v>
      </c>
      <c r="AB30">
        <v>-2.01E-2</v>
      </c>
      <c r="AC30">
        <v>-2.1899999999999999E-2</v>
      </c>
      <c r="AD30">
        <v>-2.3099999999999999E-2</v>
      </c>
      <c r="AE30">
        <v>6.3E-2</v>
      </c>
      <c r="AF30">
        <v>6.1199999999999997E-2</v>
      </c>
      <c r="AG30">
        <v>5.8999999999999997E-2</v>
      </c>
      <c r="AH30">
        <v>5.6399999999999999E-2</v>
      </c>
      <c r="AI30">
        <v>5.2600000000000001E-2</v>
      </c>
      <c r="AJ30">
        <v>4.87E-2</v>
      </c>
      <c r="AK30">
        <v>4.4600000000000001E-2</v>
      </c>
      <c r="AL30">
        <v>4.1200000000000001E-2</v>
      </c>
      <c r="AM30">
        <v>3.6999999999999998E-2</v>
      </c>
      <c r="AN30">
        <v>3.2199999999999999E-2</v>
      </c>
      <c r="AO30">
        <v>2.6499999999999999E-2</v>
      </c>
      <c r="AP30">
        <v>1.83E-2</v>
      </c>
      <c r="AQ30">
        <v>9.9000000000000008E-3</v>
      </c>
      <c r="AR30">
        <v>1.6000000000000001E-3</v>
      </c>
      <c r="AS30">
        <v>-8.6999999999999994E-3</v>
      </c>
      <c r="AT30">
        <v>9.5299999999999996E-2</v>
      </c>
      <c r="AU30">
        <v>9.06E-2</v>
      </c>
      <c r="AV30">
        <v>8.3099999999999993E-2</v>
      </c>
      <c r="AW30">
        <v>7.7200000000000005E-2</v>
      </c>
      <c r="AX30">
        <v>6.7400000000000002E-2</v>
      </c>
      <c r="AY30">
        <v>4.8399999999999999E-2</v>
      </c>
      <c r="AZ30">
        <v>1.29E-2</v>
      </c>
      <c r="BA30">
        <v>-4.1500000000000002E-2</v>
      </c>
    </row>
    <row r="31" spans="1:53" x14ac:dyDescent="0.3">
      <c r="A31" t="s">
        <v>30</v>
      </c>
      <c r="B31">
        <v>-9.1700000000000004E-2</v>
      </c>
      <c r="C31">
        <v>-9.1700000000000004E-2</v>
      </c>
      <c r="D31">
        <v>-8.9800000000000005E-2</v>
      </c>
      <c r="E31">
        <v>-8.5999999999999993E-2</v>
      </c>
      <c r="F31">
        <v>-5.7299999999999997E-2</v>
      </c>
      <c r="G31">
        <v>-5.79E-2</v>
      </c>
      <c r="H31">
        <v>-5.8799999999999998E-2</v>
      </c>
      <c r="I31">
        <v>-6.0400000000000002E-2</v>
      </c>
      <c r="J31">
        <v>-6.0999999999999999E-2</v>
      </c>
      <c r="K31">
        <v>-6.1600000000000002E-2</v>
      </c>
      <c r="L31">
        <v>-7.7700000000000005E-2</v>
      </c>
      <c r="M31">
        <v>-7.8600000000000003E-2</v>
      </c>
      <c r="N31">
        <v>-8.1000000000000003E-2</v>
      </c>
      <c r="O31">
        <v>-8.3299999999999999E-2</v>
      </c>
      <c r="P31">
        <v>-8.4500000000000006E-2</v>
      </c>
      <c r="Q31">
        <v>-8.6800000000000002E-2</v>
      </c>
      <c r="R31">
        <v>-8.8900000000000007E-2</v>
      </c>
      <c r="S31">
        <v>-9.0300000000000005E-2</v>
      </c>
      <c r="T31">
        <v>-9.1499999999999998E-2</v>
      </c>
      <c r="U31">
        <v>-9.1999999999999998E-2</v>
      </c>
      <c r="V31">
        <v>-9.2799999999999994E-2</v>
      </c>
      <c r="W31">
        <v>-9.3600000000000003E-2</v>
      </c>
      <c r="X31">
        <v>-9.3899999999999997E-2</v>
      </c>
      <c r="Y31">
        <v>-9.5100000000000004E-2</v>
      </c>
      <c r="Z31">
        <v>-9.4500000000000001E-2</v>
      </c>
      <c r="AA31">
        <v>-9.5799999999999996E-2</v>
      </c>
      <c r="AB31">
        <v>-9.7199999999999995E-2</v>
      </c>
      <c r="AC31">
        <v>-9.8000000000000004E-2</v>
      </c>
      <c r="AD31">
        <v>-6.2100000000000002E-2</v>
      </c>
      <c r="AE31">
        <v>1.8200000000000001E-2</v>
      </c>
      <c r="AF31">
        <v>1.9E-2</v>
      </c>
      <c r="AG31">
        <v>1.95E-2</v>
      </c>
      <c r="AH31">
        <v>0.02</v>
      </c>
      <c r="AI31">
        <v>2.1399999999999999E-2</v>
      </c>
      <c r="AJ31">
        <v>2.2100000000000002E-2</v>
      </c>
      <c r="AK31">
        <v>2.18E-2</v>
      </c>
      <c r="AL31">
        <v>2.1899999999999999E-2</v>
      </c>
      <c r="AM31">
        <v>2.2100000000000002E-2</v>
      </c>
      <c r="AN31">
        <v>2.1499999999999998E-2</v>
      </c>
      <c r="AO31">
        <v>1.9800000000000002E-2</v>
      </c>
      <c r="AP31">
        <v>1.78E-2</v>
      </c>
      <c r="AQ31">
        <v>1.6299999999999999E-2</v>
      </c>
      <c r="AR31">
        <v>1.4800000000000001E-2</v>
      </c>
      <c r="AS31">
        <v>1.0200000000000001E-2</v>
      </c>
      <c r="AT31">
        <v>-5.5899999999999998E-2</v>
      </c>
      <c r="AU31">
        <v>-5.1400000000000001E-2</v>
      </c>
      <c r="AV31">
        <v>-4.8000000000000001E-2</v>
      </c>
      <c r="AW31">
        <v>-4.2099999999999999E-2</v>
      </c>
      <c r="AX31">
        <v>-3.5900000000000001E-2</v>
      </c>
      <c r="AY31">
        <v>-3.0599999999999999E-2</v>
      </c>
      <c r="AZ31">
        <v>-2.12E-2</v>
      </c>
      <c r="BA31">
        <v>-6.9999999999999999E-4</v>
      </c>
    </row>
    <row r="32" spans="1:53" x14ac:dyDescent="0.3">
      <c r="A32" t="s">
        <v>31</v>
      </c>
      <c r="B32">
        <v>2.9100000000000001E-2</v>
      </c>
      <c r="C32">
        <v>2.9100000000000001E-2</v>
      </c>
      <c r="D32">
        <v>2.81E-2</v>
      </c>
      <c r="E32">
        <v>2.7900000000000001E-2</v>
      </c>
      <c r="F32">
        <v>4.3499999999999997E-2</v>
      </c>
      <c r="G32">
        <v>4.1700000000000001E-2</v>
      </c>
      <c r="H32">
        <v>4.0599999999999997E-2</v>
      </c>
      <c r="I32">
        <v>3.8800000000000001E-2</v>
      </c>
      <c r="J32">
        <v>3.5900000000000001E-2</v>
      </c>
      <c r="K32">
        <v>3.3700000000000001E-2</v>
      </c>
      <c r="L32">
        <v>4.2500000000000003E-2</v>
      </c>
      <c r="M32">
        <v>0.04</v>
      </c>
      <c r="N32">
        <v>3.8600000000000002E-2</v>
      </c>
      <c r="O32">
        <v>3.8699999999999998E-2</v>
      </c>
      <c r="P32">
        <v>3.7699999999999997E-2</v>
      </c>
      <c r="Q32">
        <v>3.73E-2</v>
      </c>
      <c r="R32">
        <v>3.6600000000000001E-2</v>
      </c>
      <c r="S32">
        <v>3.5799999999999998E-2</v>
      </c>
      <c r="T32">
        <v>3.4700000000000002E-2</v>
      </c>
      <c r="U32">
        <v>3.3700000000000001E-2</v>
      </c>
      <c r="V32">
        <v>3.2800000000000003E-2</v>
      </c>
      <c r="W32">
        <v>3.1800000000000002E-2</v>
      </c>
      <c r="X32">
        <v>3.1199999999999999E-2</v>
      </c>
      <c r="Y32">
        <v>2.9700000000000001E-2</v>
      </c>
      <c r="Z32">
        <v>2.8400000000000002E-2</v>
      </c>
      <c r="AA32">
        <v>2.6800000000000001E-2</v>
      </c>
      <c r="AB32">
        <v>2.63E-2</v>
      </c>
      <c r="AC32">
        <v>2.6800000000000001E-2</v>
      </c>
      <c r="AD32">
        <v>5.5999999999999999E-3</v>
      </c>
      <c r="AE32">
        <v>-1.12E-2</v>
      </c>
      <c r="AF32">
        <v>-1.21E-2</v>
      </c>
      <c r="AG32">
        <v>-1.2E-2</v>
      </c>
      <c r="AH32">
        <v>-1.0500000000000001E-2</v>
      </c>
      <c r="AI32">
        <v>-1.0699999999999999E-2</v>
      </c>
      <c r="AJ32">
        <v>-9.2999999999999992E-3</v>
      </c>
      <c r="AK32">
        <v>-7.6E-3</v>
      </c>
      <c r="AL32">
        <v>-7.1999999999999998E-3</v>
      </c>
      <c r="AM32">
        <v>-4.3E-3</v>
      </c>
      <c r="AN32">
        <v>-1.8E-3</v>
      </c>
      <c r="AO32">
        <v>1.2999999999999999E-3</v>
      </c>
      <c r="AP32">
        <v>3.8E-3</v>
      </c>
      <c r="AQ32">
        <v>6.7999999999999996E-3</v>
      </c>
      <c r="AR32">
        <v>8.6E-3</v>
      </c>
      <c r="AS32">
        <v>5.7999999999999996E-3</v>
      </c>
      <c r="AT32">
        <v>-5.4699999999999999E-2</v>
      </c>
      <c r="AU32">
        <v>-5.62E-2</v>
      </c>
      <c r="AV32">
        <v>-5.7200000000000001E-2</v>
      </c>
      <c r="AW32">
        <v>-5.5300000000000002E-2</v>
      </c>
      <c r="AX32">
        <v>-5.5599999999999997E-2</v>
      </c>
      <c r="AY32">
        <v>-5.5899999999999998E-2</v>
      </c>
      <c r="AZ32">
        <v>-4.8399999999999999E-2</v>
      </c>
      <c r="BA32">
        <v>-3.2000000000000001E-2</v>
      </c>
    </row>
    <row r="33" spans="1:53" x14ac:dyDescent="0.3">
      <c r="A33" t="s">
        <v>32</v>
      </c>
      <c r="B33">
        <v>-5.5899999999999998E-2</v>
      </c>
      <c r="C33">
        <v>-5.5899999999999998E-2</v>
      </c>
      <c r="D33">
        <v>-5.6000000000000001E-2</v>
      </c>
      <c r="E33">
        <v>-5.5800000000000002E-2</v>
      </c>
      <c r="F33">
        <v>-8.09E-2</v>
      </c>
      <c r="G33">
        <v>-8.0699999999999994E-2</v>
      </c>
      <c r="H33">
        <v>-7.9699999999999993E-2</v>
      </c>
      <c r="I33">
        <v>-7.8600000000000003E-2</v>
      </c>
      <c r="J33">
        <v>-7.8299999999999995E-2</v>
      </c>
      <c r="K33">
        <v>-7.8200000000000006E-2</v>
      </c>
      <c r="L33">
        <v>-6.6100000000000006E-2</v>
      </c>
      <c r="M33">
        <v>-6.3200000000000006E-2</v>
      </c>
      <c r="N33">
        <v>-6.0100000000000001E-2</v>
      </c>
      <c r="O33">
        <v>-5.8000000000000003E-2</v>
      </c>
      <c r="P33">
        <v>-5.6300000000000003E-2</v>
      </c>
      <c r="Q33">
        <v>-5.4800000000000001E-2</v>
      </c>
      <c r="R33">
        <v>-5.3100000000000001E-2</v>
      </c>
      <c r="S33">
        <v>-5.1499999999999997E-2</v>
      </c>
      <c r="T33">
        <v>-5.04E-2</v>
      </c>
      <c r="U33">
        <v>-5.0200000000000002E-2</v>
      </c>
      <c r="V33">
        <v>-5.0500000000000003E-2</v>
      </c>
      <c r="W33">
        <v>-5.0799999999999998E-2</v>
      </c>
      <c r="X33">
        <v>-5.2400000000000002E-2</v>
      </c>
      <c r="Y33">
        <v>-5.3800000000000001E-2</v>
      </c>
      <c r="Z33">
        <v>-5.5E-2</v>
      </c>
      <c r="AA33">
        <v>-5.6300000000000003E-2</v>
      </c>
      <c r="AB33">
        <v>-5.7099999999999998E-2</v>
      </c>
      <c r="AC33">
        <v>-5.8299999999999998E-2</v>
      </c>
      <c r="AD33">
        <v>-1.37E-2</v>
      </c>
      <c r="AE33">
        <v>-8.0799999999999997E-2</v>
      </c>
      <c r="AF33">
        <v>-8.2500000000000004E-2</v>
      </c>
      <c r="AG33">
        <v>-8.3400000000000002E-2</v>
      </c>
      <c r="AH33">
        <v>-8.4699999999999998E-2</v>
      </c>
      <c r="AI33">
        <v>-8.7800000000000003E-2</v>
      </c>
      <c r="AJ33">
        <v>-8.9399999999999993E-2</v>
      </c>
      <c r="AK33">
        <v>-9.1300000000000006E-2</v>
      </c>
      <c r="AL33">
        <v>-9.4399999999999998E-2</v>
      </c>
      <c r="AM33">
        <v>-9.8000000000000004E-2</v>
      </c>
      <c r="AN33">
        <v>-0.10299999999999999</v>
      </c>
      <c r="AO33">
        <v>-0.107</v>
      </c>
      <c r="AP33">
        <v>-0.11169999999999999</v>
      </c>
      <c r="AQ33">
        <v>-0.1181</v>
      </c>
      <c r="AR33">
        <v>-0.12939999999999999</v>
      </c>
      <c r="AS33">
        <v>-0.14030000000000001</v>
      </c>
      <c r="AT33">
        <v>0.24099999999999999</v>
      </c>
      <c r="AU33">
        <v>0.25890000000000002</v>
      </c>
      <c r="AV33">
        <v>0.27429999999999999</v>
      </c>
      <c r="AW33">
        <v>0.28699999999999998</v>
      </c>
      <c r="AX33">
        <v>0.29599999999999999</v>
      </c>
      <c r="AY33">
        <v>0.2873</v>
      </c>
      <c r="AZ33">
        <v>0.24210000000000001</v>
      </c>
      <c r="BA33">
        <v>5.6399999999999999E-2</v>
      </c>
    </row>
    <row r="34" spans="1:53" x14ac:dyDescent="0.3">
      <c r="A34" t="s">
        <v>33</v>
      </c>
      <c r="B34">
        <v>6.25E-2</v>
      </c>
      <c r="C34">
        <v>6.25E-2</v>
      </c>
      <c r="D34">
        <v>6.4399999999999999E-2</v>
      </c>
      <c r="E34">
        <v>6.5699999999999995E-2</v>
      </c>
      <c r="F34">
        <v>4.1700000000000001E-2</v>
      </c>
      <c r="G34">
        <v>4.3099999999999999E-2</v>
      </c>
      <c r="H34">
        <v>4.5199999999999997E-2</v>
      </c>
      <c r="I34">
        <v>4.7500000000000001E-2</v>
      </c>
      <c r="J34">
        <v>5.0799999999999998E-2</v>
      </c>
      <c r="K34">
        <v>5.3699999999999998E-2</v>
      </c>
      <c r="L34">
        <v>5.7099999999999998E-2</v>
      </c>
      <c r="M34">
        <v>6.1199999999999997E-2</v>
      </c>
      <c r="N34">
        <v>6.5699999999999995E-2</v>
      </c>
      <c r="O34">
        <v>6.93E-2</v>
      </c>
      <c r="P34">
        <v>7.22E-2</v>
      </c>
      <c r="Q34">
        <v>7.51E-2</v>
      </c>
      <c r="R34">
        <v>7.7299999999999994E-2</v>
      </c>
      <c r="S34">
        <v>7.8299999999999995E-2</v>
      </c>
      <c r="T34">
        <v>7.9200000000000007E-2</v>
      </c>
      <c r="U34">
        <v>8.0699999999999994E-2</v>
      </c>
      <c r="V34">
        <v>8.2100000000000006E-2</v>
      </c>
      <c r="W34">
        <v>8.3699999999999997E-2</v>
      </c>
      <c r="X34">
        <v>8.4699999999999998E-2</v>
      </c>
      <c r="Y34">
        <v>8.5599999999999996E-2</v>
      </c>
      <c r="Z34">
        <v>8.6699999999999999E-2</v>
      </c>
      <c r="AA34">
        <v>8.77E-2</v>
      </c>
      <c r="AB34">
        <v>8.7900000000000006E-2</v>
      </c>
      <c r="AC34">
        <v>8.8999999999999996E-2</v>
      </c>
      <c r="AD34">
        <v>4.9599999999999998E-2</v>
      </c>
      <c r="AE34">
        <v>-5.96E-2</v>
      </c>
      <c r="AF34">
        <v>-5.79E-2</v>
      </c>
      <c r="AG34">
        <v>-5.6000000000000001E-2</v>
      </c>
      <c r="AH34">
        <v>-5.4699999999999999E-2</v>
      </c>
      <c r="AI34">
        <v>-5.2600000000000001E-2</v>
      </c>
      <c r="AJ34">
        <v>-5.1299999999999998E-2</v>
      </c>
      <c r="AK34">
        <v>-4.9200000000000001E-2</v>
      </c>
      <c r="AL34">
        <v>-4.7500000000000001E-2</v>
      </c>
      <c r="AM34">
        <v>-4.6300000000000001E-2</v>
      </c>
      <c r="AN34">
        <v>-4.2000000000000003E-2</v>
      </c>
      <c r="AO34">
        <v>-3.8100000000000002E-2</v>
      </c>
      <c r="AP34">
        <v>-3.1E-2</v>
      </c>
      <c r="AQ34">
        <v>-2.3699999999999999E-2</v>
      </c>
      <c r="AR34">
        <v>-1.4E-2</v>
      </c>
      <c r="AS34">
        <v>-8.0000000000000004E-4</v>
      </c>
      <c r="AT34">
        <v>0.1933</v>
      </c>
      <c r="AU34">
        <v>0.2331</v>
      </c>
      <c r="AV34">
        <v>0.28860000000000002</v>
      </c>
      <c r="AW34">
        <v>0.3619</v>
      </c>
      <c r="AX34">
        <v>0.4657</v>
      </c>
      <c r="AY34">
        <v>0.61350000000000005</v>
      </c>
      <c r="AZ34">
        <v>0.81559999999999999</v>
      </c>
      <c r="BA34">
        <v>1</v>
      </c>
    </row>
    <row r="35" spans="1:53" x14ac:dyDescent="0.3">
      <c r="A35" t="s">
        <v>34</v>
      </c>
      <c r="B35">
        <v>-1.2800000000000001E-2</v>
      </c>
      <c r="C35">
        <v>-1.2800000000000001E-2</v>
      </c>
      <c r="D35">
        <v>-1.4E-2</v>
      </c>
      <c r="E35">
        <v>-1.5699999999999999E-2</v>
      </c>
      <c r="F35">
        <v>-4.5199999999999997E-2</v>
      </c>
      <c r="G35">
        <v>-4.65E-2</v>
      </c>
      <c r="H35">
        <v>-4.7699999999999999E-2</v>
      </c>
      <c r="I35">
        <v>-4.8599999999999997E-2</v>
      </c>
      <c r="J35">
        <v>-5.0799999999999998E-2</v>
      </c>
      <c r="K35">
        <v>-5.11E-2</v>
      </c>
      <c r="L35">
        <v>-4.8000000000000001E-2</v>
      </c>
      <c r="M35">
        <v>-5.0299999999999997E-2</v>
      </c>
      <c r="N35">
        <v>-5.2200000000000003E-2</v>
      </c>
      <c r="O35">
        <v>-5.4199999999999998E-2</v>
      </c>
      <c r="P35">
        <v>-5.45E-2</v>
      </c>
      <c r="Q35">
        <v>-5.45E-2</v>
      </c>
      <c r="R35">
        <v>-5.4899999999999997E-2</v>
      </c>
      <c r="S35">
        <v>-5.4399999999999997E-2</v>
      </c>
      <c r="T35">
        <v>-5.4600000000000003E-2</v>
      </c>
      <c r="U35">
        <v>-5.5599999999999997E-2</v>
      </c>
      <c r="V35">
        <v>-5.62E-2</v>
      </c>
      <c r="W35">
        <v>-5.6000000000000001E-2</v>
      </c>
      <c r="X35">
        <v>-5.6599999999999998E-2</v>
      </c>
      <c r="Y35">
        <v>-5.6500000000000002E-2</v>
      </c>
      <c r="Z35">
        <v>-5.6099999999999997E-2</v>
      </c>
      <c r="AA35">
        <v>-5.6099999999999997E-2</v>
      </c>
      <c r="AB35">
        <v>-5.5500000000000001E-2</v>
      </c>
      <c r="AC35">
        <v>-5.5300000000000002E-2</v>
      </c>
      <c r="AD35">
        <v>-1.17E-2</v>
      </c>
      <c r="AE35">
        <v>0.12139999999999999</v>
      </c>
      <c r="AF35">
        <v>0.1225</v>
      </c>
      <c r="AG35">
        <v>0.1231</v>
      </c>
      <c r="AH35">
        <v>0.1232</v>
      </c>
      <c r="AI35">
        <v>0.1232</v>
      </c>
      <c r="AJ35">
        <v>0.1235</v>
      </c>
      <c r="AK35">
        <v>0.12230000000000001</v>
      </c>
      <c r="AL35">
        <v>0.1212</v>
      </c>
      <c r="AM35">
        <v>0.12180000000000001</v>
      </c>
      <c r="AN35">
        <v>0.1195</v>
      </c>
      <c r="AO35">
        <v>0.1169</v>
      </c>
      <c r="AP35">
        <v>0.1139</v>
      </c>
      <c r="AQ35">
        <v>0.1055</v>
      </c>
      <c r="AR35">
        <v>9.5500000000000002E-2</v>
      </c>
      <c r="AS35">
        <v>8.4699999999999998E-2</v>
      </c>
      <c r="AT35">
        <v>7.4399999999999994E-2</v>
      </c>
      <c r="AU35">
        <v>7.4200000000000002E-2</v>
      </c>
      <c r="AV35">
        <v>7.6200000000000004E-2</v>
      </c>
      <c r="AW35">
        <v>7.7499999999999999E-2</v>
      </c>
      <c r="AX35">
        <v>8.2100000000000006E-2</v>
      </c>
      <c r="AY35">
        <v>8.8400000000000006E-2</v>
      </c>
      <c r="AZ35">
        <v>9.1899999999999996E-2</v>
      </c>
      <c r="BA35">
        <v>7.9000000000000001E-2</v>
      </c>
    </row>
    <row r="36" spans="1:53" x14ac:dyDescent="0.3">
      <c r="A36" t="s">
        <v>35</v>
      </c>
      <c r="B36">
        <v>5.2299999999999999E-2</v>
      </c>
      <c r="C36">
        <v>5.2299999999999999E-2</v>
      </c>
      <c r="D36">
        <v>5.16E-2</v>
      </c>
      <c r="E36">
        <v>5.1499999999999997E-2</v>
      </c>
      <c r="F36">
        <v>3.2800000000000003E-2</v>
      </c>
      <c r="G36">
        <v>3.2599999999999997E-2</v>
      </c>
      <c r="H36">
        <v>3.1199999999999999E-2</v>
      </c>
      <c r="I36">
        <v>3.0200000000000001E-2</v>
      </c>
      <c r="J36">
        <v>2.98E-2</v>
      </c>
      <c r="K36">
        <v>2.9000000000000001E-2</v>
      </c>
      <c r="L36">
        <v>2.93E-2</v>
      </c>
      <c r="M36">
        <v>2.87E-2</v>
      </c>
      <c r="N36">
        <v>2.9100000000000001E-2</v>
      </c>
      <c r="O36">
        <v>2.92E-2</v>
      </c>
      <c r="P36">
        <v>3.09E-2</v>
      </c>
      <c r="Q36">
        <v>3.1300000000000001E-2</v>
      </c>
      <c r="R36">
        <v>3.2199999999999999E-2</v>
      </c>
      <c r="S36">
        <v>3.2399999999999998E-2</v>
      </c>
      <c r="T36">
        <v>3.2199999999999999E-2</v>
      </c>
      <c r="U36">
        <v>3.1099999999999999E-2</v>
      </c>
      <c r="V36">
        <v>3.1300000000000001E-2</v>
      </c>
      <c r="W36">
        <v>3.0499999999999999E-2</v>
      </c>
      <c r="X36">
        <v>3.0700000000000002E-2</v>
      </c>
      <c r="Y36">
        <v>2.9600000000000001E-2</v>
      </c>
      <c r="Z36">
        <v>2.92E-2</v>
      </c>
      <c r="AA36">
        <v>2.9000000000000001E-2</v>
      </c>
      <c r="AB36">
        <v>2.8400000000000002E-2</v>
      </c>
      <c r="AC36">
        <v>2.8199999999999999E-2</v>
      </c>
      <c r="AD36">
        <v>6.4100000000000004E-2</v>
      </c>
      <c r="AE36">
        <v>7.46E-2</v>
      </c>
      <c r="AF36">
        <v>7.6600000000000001E-2</v>
      </c>
      <c r="AG36">
        <v>7.7499999999999999E-2</v>
      </c>
      <c r="AH36">
        <v>7.8200000000000006E-2</v>
      </c>
      <c r="AI36">
        <v>7.8799999999999995E-2</v>
      </c>
      <c r="AJ36">
        <v>7.9200000000000007E-2</v>
      </c>
      <c r="AK36">
        <v>7.85E-2</v>
      </c>
      <c r="AL36">
        <v>7.8700000000000006E-2</v>
      </c>
      <c r="AM36">
        <v>7.9500000000000001E-2</v>
      </c>
      <c r="AN36">
        <v>7.9299999999999995E-2</v>
      </c>
      <c r="AO36">
        <v>7.9100000000000004E-2</v>
      </c>
      <c r="AP36">
        <v>7.8100000000000003E-2</v>
      </c>
      <c r="AQ36">
        <v>7.5700000000000003E-2</v>
      </c>
      <c r="AR36">
        <v>7.2900000000000006E-2</v>
      </c>
      <c r="AS36">
        <v>6.8199999999999997E-2</v>
      </c>
      <c r="AT36">
        <v>-5.3E-3</v>
      </c>
      <c r="AU36">
        <v>-1.06E-2</v>
      </c>
      <c r="AV36">
        <v>-1.4999999999999999E-2</v>
      </c>
      <c r="AW36">
        <v>-1.84E-2</v>
      </c>
      <c r="AX36">
        <v>-1.77E-2</v>
      </c>
      <c r="AY36">
        <v>-1.29E-2</v>
      </c>
      <c r="AZ36">
        <v>1.21E-2</v>
      </c>
      <c r="BA36">
        <v>9.0899999999999995E-2</v>
      </c>
    </row>
    <row r="37" spans="1:53" x14ac:dyDescent="0.3">
      <c r="A37" t="s">
        <v>36</v>
      </c>
      <c r="B37">
        <v>-9.2999999999999992E-3</v>
      </c>
      <c r="C37">
        <v>-9.2999999999999992E-3</v>
      </c>
      <c r="D37">
        <v>-9.7999999999999997E-3</v>
      </c>
      <c r="E37">
        <v>-1.1599999999999999E-2</v>
      </c>
      <c r="F37">
        <v>-1.7399999999999999E-2</v>
      </c>
      <c r="G37">
        <v>-1.8800000000000001E-2</v>
      </c>
      <c r="H37">
        <v>-2.0199999999999999E-2</v>
      </c>
      <c r="I37">
        <v>-2.2200000000000001E-2</v>
      </c>
      <c r="J37">
        <v>-2.4E-2</v>
      </c>
      <c r="K37">
        <v>-2.5399999999999999E-2</v>
      </c>
      <c r="L37">
        <v>-3.1399999999999997E-2</v>
      </c>
      <c r="M37">
        <v>-3.3300000000000003E-2</v>
      </c>
      <c r="N37">
        <v>-3.6200000000000003E-2</v>
      </c>
      <c r="O37">
        <v>-3.7900000000000003E-2</v>
      </c>
      <c r="P37">
        <v>-3.7600000000000001E-2</v>
      </c>
      <c r="Q37">
        <v>-3.8399999999999997E-2</v>
      </c>
      <c r="R37">
        <v>-3.78E-2</v>
      </c>
      <c r="S37">
        <v>-3.7600000000000001E-2</v>
      </c>
      <c r="T37">
        <v>-3.7499999999999999E-2</v>
      </c>
      <c r="U37">
        <v>-3.7199999999999997E-2</v>
      </c>
      <c r="V37">
        <v>-3.7199999999999997E-2</v>
      </c>
      <c r="W37">
        <v>-3.7100000000000001E-2</v>
      </c>
      <c r="X37">
        <v>-3.73E-2</v>
      </c>
      <c r="Y37">
        <v>-3.7100000000000001E-2</v>
      </c>
      <c r="Z37">
        <v>-3.6999999999999998E-2</v>
      </c>
      <c r="AA37">
        <v>-3.6299999999999999E-2</v>
      </c>
      <c r="AB37">
        <v>-3.5000000000000003E-2</v>
      </c>
      <c r="AC37">
        <v>-3.4200000000000001E-2</v>
      </c>
      <c r="AD37">
        <v>2.2599999999999999E-2</v>
      </c>
      <c r="AE37">
        <v>-3.15E-2</v>
      </c>
      <c r="AF37">
        <v>-3.0499999999999999E-2</v>
      </c>
      <c r="AG37">
        <v>-2.8199999999999999E-2</v>
      </c>
      <c r="AH37">
        <v>-2.6700000000000002E-2</v>
      </c>
      <c r="AI37">
        <v>-2.5999999999999999E-2</v>
      </c>
      <c r="AJ37">
        <v>-2.5100000000000001E-2</v>
      </c>
      <c r="AK37">
        <v>-2.29E-2</v>
      </c>
      <c r="AL37">
        <v>-2.12E-2</v>
      </c>
      <c r="AM37">
        <v>-1.9800000000000002E-2</v>
      </c>
      <c r="AN37">
        <v>-1.78E-2</v>
      </c>
      <c r="AO37">
        <v>-1.7399999999999999E-2</v>
      </c>
      <c r="AP37">
        <v>-1.83E-2</v>
      </c>
      <c r="AQ37">
        <v>-2.1299999999999999E-2</v>
      </c>
      <c r="AR37">
        <v>-2.6200000000000001E-2</v>
      </c>
      <c r="AS37">
        <v>-3.3300000000000003E-2</v>
      </c>
      <c r="AT37">
        <v>-4.8999999999999998E-3</v>
      </c>
      <c r="AU37">
        <v>-3.3E-3</v>
      </c>
      <c r="AV37">
        <v>-2.0999999999999999E-3</v>
      </c>
      <c r="AW37">
        <v>2.3999999999999998E-3</v>
      </c>
      <c r="AX37">
        <v>5.7000000000000002E-3</v>
      </c>
      <c r="AY37">
        <v>7.6E-3</v>
      </c>
      <c r="AZ37">
        <v>9.1000000000000004E-3</v>
      </c>
      <c r="BA37">
        <v>-1.8E-3</v>
      </c>
    </row>
    <row r="39" spans="1:53" x14ac:dyDescent="0.3">
      <c r="A39" t="s">
        <v>0</v>
      </c>
      <c r="B39">
        <v>0</v>
      </c>
      <c r="C39">
        <v>0.34560000000000002</v>
      </c>
      <c r="D39">
        <v>1.0367999999999999</v>
      </c>
      <c r="E39">
        <v>1.728</v>
      </c>
      <c r="F39">
        <v>2.4192</v>
      </c>
      <c r="G39">
        <v>3.1103999999999998</v>
      </c>
      <c r="H39">
        <v>3.8016000000000001</v>
      </c>
      <c r="I39">
        <v>4.4927999999999999</v>
      </c>
      <c r="J39">
        <v>5.1840000000000002</v>
      </c>
      <c r="K39">
        <v>5.8752000000000004</v>
      </c>
      <c r="L39">
        <v>6.5663999999999998</v>
      </c>
      <c r="M39">
        <v>7.2576000000000001</v>
      </c>
      <c r="N39">
        <v>7.9488000000000003</v>
      </c>
      <c r="O39">
        <v>8.64</v>
      </c>
      <c r="P39">
        <v>9.3312000000000008</v>
      </c>
      <c r="Q39">
        <v>10.022399999999999</v>
      </c>
      <c r="R39">
        <v>10.7136</v>
      </c>
      <c r="S39">
        <v>11.4048</v>
      </c>
      <c r="T39">
        <v>12.096</v>
      </c>
      <c r="U39">
        <v>12.7872</v>
      </c>
      <c r="V39">
        <v>13.478400000000001</v>
      </c>
      <c r="W39">
        <v>14.169600000000001</v>
      </c>
      <c r="X39">
        <v>14.860799999999999</v>
      </c>
      <c r="Y39">
        <v>15.552</v>
      </c>
      <c r="Z39">
        <v>16.243200000000002</v>
      </c>
      <c r="AA39">
        <v>16.9344</v>
      </c>
      <c r="AB39">
        <v>17.625599999999999</v>
      </c>
      <c r="AC39">
        <v>18.316800000000001</v>
      </c>
      <c r="AD39">
        <v>19.007999999999999</v>
      </c>
      <c r="AE39">
        <v>19.699200000000001</v>
      </c>
      <c r="AF39">
        <v>20.3904</v>
      </c>
      <c r="AG39">
        <v>21.081600000000002</v>
      </c>
      <c r="AH39">
        <v>21.7728</v>
      </c>
      <c r="AI39">
        <v>22.463999999999999</v>
      </c>
      <c r="AJ39">
        <v>23.155200000000001</v>
      </c>
      <c r="AK39">
        <v>23.846399999999999</v>
      </c>
      <c r="AL39">
        <v>24.537600000000001</v>
      </c>
      <c r="AM39">
        <v>25.2288</v>
      </c>
      <c r="AN39">
        <v>25.92</v>
      </c>
      <c r="AO39">
        <v>26.6112</v>
      </c>
      <c r="AP39">
        <v>27.302399999999999</v>
      </c>
      <c r="AQ39">
        <v>27.993600000000001</v>
      </c>
      <c r="AR39">
        <v>28.684799999999999</v>
      </c>
      <c r="AS39">
        <v>29.376000000000001</v>
      </c>
      <c r="AT39">
        <v>30.0672</v>
      </c>
      <c r="AU39">
        <v>30.758400000000002</v>
      </c>
      <c r="AV39">
        <v>31.4496</v>
      </c>
      <c r="AW39">
        <v>32.140799999999999</v>
      </c>
      <c r="AX39">
        <v>32.832000000000001</v>
      </c>
      <c r="AY39">
        <v>33.523200000000003</v>
      </c>
      <c r="AZ39">
        <v>34.214399999999998</v>
      </c>
      <c r="BA39">
        <v>34.56</v>
      </c>
    </row>
    <row r="40" spans="1:53" x14ac:dyDescent="0.3">
      <c r="A40" t="s">
        <v>1</v>
      </c>
      <c r="B40">
        <f>+ABS(B2)</f>
        <v>0.2099</v>
      </c>
      <c r="C40">
        <f t="shared" ref="C40:BA40" si="0">+ABS(C2)</f>
        <v>0.2099</v>
      </c>
      <c r="D40">
        <f t="shared" si="0"/>
        <v>0.20150000000000001</v>
      </c>
      <c r="E40">
        <f t="shared" si="0"/>
        <v>0.19159999999999999</v>
      </c>
      <c r="F40">
        <f t="shared" si="0"/>
        <v>0.2011</v>
      </c>
      <c r="G40">
        <f t="shared" si="0"/>
        <v>0.192</v>
      </c>
      <c r="H40">
        <f t="shared" si="0"/>
        <v>0.1802</v>
      </c>
      <c r="I40">
        <f t="shared" si="0"/>
        <v>0.1686</v>
      </c>
      <c r="J40">
        <f t="shared" si="0"/>
        <v>0.1555</v>
      </c>
      <c r="K40">
        <f t="shared" si="0"/>
        <v>0.14219999999999999</v>
      </c>
      <c r="L40">
        <f t="shared" si="0"/>
        <v>0.16589999999999999</v>
      </c>
      <c r="M40">
        <f t="shared" si="0"/>
        <v>0.14979999999999999</v>
      </c>
      <c r="N40">
        <f t="shared" si="0"/>
        <v>0.13120000000000001</v>
      </c>
      <c r="O40">
        <f t="shared" si="0"/>
        <v>0.1118</v>
      </c>
      <c r="P40">
        <f t="shared" si="0"/>
        <v>9.3700000000000006E-2</v>
      </c>
      <c r="Q40">
        <f t="shared" si="0"/>
        <v>7.8899999999999998E-2</v>
      </c>
      <c r="R40">
        <f t="shared" si="0"/>
        <v>6.5500000000000003E-2</v>
      </c>
      <c r="S40">
        <f t="shared" si="0"/>
        <v>5.3800000000000001E-2</v>
      </c>
      <c r="T40">
        <f t="shared" si="0"/>
        <v>4.3700000000000003E-2</v>
      </c>
      <c r="U40">
        <f t="shared" si="0"/>
        <v>3.5000000000000003E-2</v>
      </c>
      <c r="V40">
        <f t="shared" si="0"/>
        <v>2.7799999999999998E-2</v>
      </c>
      <c r="W40">
        <f t="shared" si="0"/>
        <v>2.1100000000000001E-2</v>
      </c>
      <c r="X40">
        <f t="shared" si="0"/>
        <v>1.52E-2</v>
      </c>
      <c r="Y40">
        <f t="shared" si="0"/>
        <v>9.7000000000000003E-3</v>
      </c>
      <c r="Z40">
        <f t="shared" si="0"/>
        <v>4.1000000000000003E-3</v>
      </c>
      <c r="AA40">
        <f t="shared" si="0"/>
        <v>6.9999999999999999E-4</v>
      </c>
      <c r="AB40">
        <f t="shared" si="0"/>
        <v>2.2000000000000001E-3</v>
      </c>
      <c r="AC40">
        <f t="shared" si="0"/>
        <v>4.4000000000000003E-3</v>
      </c>
      <c r="AD40">
        <f t="shared" si="0"/>
        <v>7.0400000000000004E-2</v>
      </c>
      <c r="AE40">
        <f t="shared" si="0"/>
        <v>0.48749999999999999</v>
      </c>
      <c r="AF40">
        <f t="shared" si="0"/>
        <v>0.4844</v>
      </c>
      <c r="AG40">
        <f t="shared" si="0"/>
        <v>0.48170000000000002</v>
      </c>
      <c r="AH40">
        <f t="shared" si="0"/>
        <v>0.47720000000000001</v>
      </c>
      <c r="AI40">
        <f t="shared" si="0"/>
        <v>0.4718</v>
      </c>
      <c r="AJ40">
        <f t="shared" si="0"/>
        <v>0.46550000000000002</v>
      </c>
      <c r="AK40">
        <f t="shared" si="0"/>
        <v>0.45729999999999998</v>
      </c>
      <c r="AL40">
        <f t="shared" si="0"/>
        <v>0.4471</v>
      </c>
      <c r="AM40">
        <f t="shared" si="0"/>
        <v>0.43459999999999999</v>
      </c>
      <c r="AN40">
        <f t="shared" si="0"/>
        <v>0.41710000000000003</v>
      </c>
      <c r="AO40">
        <f t="shared" si="0"/>
        <v>0.39450000000000002</v>
      </c>
      <c r="AP40">
        <f t="shared" si="0"/>
        <v>0.36259999999999998</v>
      </c>
      <c r="AQ40">
        <f t="shared" si="0"/>
        <v>0.31879999999999997</v>
      </c>
      <c r="AR40">
        <f t="shared" si="0"/>
        <v>0.26</v>
      </c>
      <c r="AS40">
        <f t="shared" si="0"/>
        <v>0.17929999999999999</v>
      </c>
      <c r="AT40">
        <f t="shared" si="0"/>
        <v>0.41199999999999998</v>
      </c>
      <c r="AU40">
        <f t="shared" si="0"/>
        <v>0.4234</v>
      </c>
      <c r="AV40">
        <f t="shared" si="0"/>
        <v>0.42799999999999999</v>
      </c>
      <c r="AW40">
        <f t="shared" si="0"/>
        <v>0.42309999999999998</v>
      </c>
      <c r="AX40">
        <f t="shared" si="0"/>
        <v>0.39579999999999999</v>
      </c>
      <c r="AY40">
        <f t="shared" si="0"/>
        <v>0.33700000000000002</v>
      </c>
      <c r="AZ40">
        <f t="shared" si="0"/>
        <v>0.20810000000000001</v>
      </c>
      <c r="BA40">
        <f t="shared" si="0"/>
        <v>6.7500000000000004E-2</v>
      </c>
    </row>
    <row r="41" spans="1:53" x14ac:dyDescent="0.3">
      <c r="A41" t="s">
        <v>2</v>
      </c>
      <c r="B41">
        <f t="shared" ref="B41:BA41" si="1">+ABS(B3)</f>
        <v>2.92E-2</v>
      </c>
      <c r="C41">
        <f t="shared" si="1"/>
        <v>2.92E-2</v>
      </c>
      <c r="D41">
        <f t="shared" si="1"/>
        <v>2.76E-2</v>
      </c>
      <c r="E41">
        <f t="shared" si="1"/>
        <v>2.4299999999999999E-2</v>
      </c>
      <c r="F41">
        <f t="shared" si="1"/>
        <v>1.6500000000000001E-2</v>
      </c>
      <c r="G41">
        <f t="shared" si="1"/>
        <v>1.6400000000000001E-2</v>
      </c>
      <c r="H41">
        <f t="shared" si="1"/>
        <v>1.7000000000000001E-2</v>
      </c>
      <c r="I41">
        <f t="shared" si="1"/>
        <v>1.7899999999999999E-2</v>
      </c>
      <c r="J41">
        <f t="shared" si="1"/>
        <v>1.7899999999999999E-2</v>
      </c>
      <c r="K41">
        <f t="shared" si="1"/>
        <v>1.72E-2</v>
      </c>
      <c r="L41">
        <f t="shared" si="1"/>
        <v>2.0400000000000001E-2</v>
      </c>
      <c r="M41">
        <f t="shared" si="1"/>
        <v>2.01E-2</v>
      </c>
      <c r="N41">
        <f t="shared" si="1"/>
        <v>1.7999999999999999E-2</v>
      </c>
      <c r="O41">
        <f t="shared" si="1"/>
        <v>1.38E-2</v>
      </c>
      <c r="P41">
        <f t="shared" si="1"/>
        <v>1.04E-2</v>
      </c>
      <c r="Q41">
        <f t="shared" si="1"/>
        <v>7.0000000000000001E-3</v>
      </c>
      <c r="R41">
        <f t="shared" si="1"/>
        <v>3.8E-3</v>
      </c>
      <c r="S41">
        <f t="shared" si="1"/>
        <v>8.9999999999999998E-4</v>
      </c>
      <c r="T41">
        <f t="shared" si="1"/>
        <v>2.0000000000000001E-4</v>
      </c>
      <c r="U41">
        <f t="shared" si="1"/>
        <v>8.0000000000000004E-4</v>
      </c>
      <c r="V41">
        <f t="shared" si="1"/>
        <v>5.9999999999999995E-4</v>
      </c>
      <c r="W41">
        <f t="shared" si="1"/>
        <v>1.6000000000000001E-3</v>
      </c>
      <c r="X41">
        <f t="shared" si="1"/>
        <v>1.6000000000000001E-3</v>
      </c>
      <c r="Y41">
        <f t="shared" si="1"/>
        <v>1.4E-3</v>
      </c>
      <c r="Z41">
        <f t="shared" si="1"/>
        <v>5.0000000000000001E-4</v>
      </c>
      <c r="AA41">
        <f t="shared" si="1"/>
        <v>1E-3</v>
      </c>
      <c r="AB41">
        <f t="shared" si="1"/>
        <v>2.3999999999999998E-3</v>
      </c>
      <c r="AC41">
        <f t="shared" si="1"/>
        <v>2.5999999999999999E-3</v>
      </c>
      <c r="AD41">
        <f t="shared" si="1"/>
        <v>9.4100000000000003E-2</v>
      </c>
      <c r="AE41">
        <f t="shared" si="1"/>
        <v>9.1999999999999998E-2</v>
      </c>
      <c r="AF41">
        <f t="shared" si="1"/>
        <v>9.2299999999999993E-2</v>
      </c>
      <c r="AG41">
        <f t="shared" si="1"/>
        <v>9.1800000000000007E-2</v>
      </c>
      <c r="AH41">
        <f t="shared" si="1"/>
        <v>9.1700000000000004E-2</v>
      </c>
      <c r="AI41">
        <f t="shared" si="1"/>
        <v>9.1600000000000001E-2</v>
      </c>
      <c r="AJ41">
        <f t="shared" si="1"/>
        <v>9.1700000000000004E-2</v>
      </c>
      <c r="AK41">
        <f t="shared" si="1"/>
        <v>9.1200000000000003E-2</v>
      </c>
      <c r="AL41">
        <f t="shared" si="1"/>
        <v>8.8900000000000007E-2</v>
      </c>
      <c r="AM41">
        <f t="shared" si="1"/>
        <v>8.72E-2</v>
      </c>
      <c r="AN41">
        <f t="shared" si="1"/>
        <v>8.7099999999999997E-2</v>
      </c>
      <c r="AO41">
        <f t="shared" si="1"/>
        <v>8.4400000000000003E-2</v>
      </c>
      <c r="AP41">
        <f t="shared" si="1"/>
        <v>7.9200000000000007E-2</v>
      </c>
      <c r="AQ41">
        <f t="shared" si="1"/>
        <v>7.51E-2</v>
      </c>
      <c r="AR41">
        <f t="shared" si="1"/>
        <v>6.8000000000000005E-2</v>
      </c>
      <c r="AS41">
        <f t="shared" si="1"/>
        <v>5.4100000000000002E-2</v>
      </c>
      <c r="AT41">
        <f t="shared" si="1"/>
        <v>0.30309999999999998</v>
      </c>
      <c r="AU41">
        <f t="shared" si="1"/>
        <v>0.307</v>
      </c>
      <c r="AV41">
        <f t="shared" si="1"/>
        <v>0.30609999999999998</v>
      </c>
      <c r="AW41">
        <f t="shared" si="1"/>
        <v>0.30020000000000002</v>
      </c>
      <c r="AX41">
        <f t="shared" si="1"/>
        <v>0.2767</v>
      </c>
      <c r="AY41">
        <f t="shared" si="1"/>
        <v>0.23649999999999999</v>
      </c>
      <c r="AZ41">
        <f t="shared" si="1"/>
        <v>0.15840000000000001</v>
      </c>
      <c r="BA41">
        <f t="shared" si="1"/>
        <v>3.2099999999999997E-2</v>
      </c>
    </row>
    <row r="42" spans="1:53" x14ac:dyDescent="0.3">
      <c r="A42" t="s">
        <v>3</v>
      </c>
      <c r="B42">
        <f t="shared" ref="B42:BA42" si="2">+ABS(B4)</f>
        <v>4.9399999999999999E-2</v>
      </c>
      <c r="C42">
        <f t="shared" si="2"/>
        <v>4.9399999999999999E-2</v>
      </c>
      <c r="D42">
        <f t="shared" si="2"/>
        <v>4.9399999999999999E-2</v>
      </c>
      <c r="E42">
        <f t="shared" si="2"/>
        <v>4.82E-2</v>
      </c>
      <c r="F42">
        <f t="shared" si="2"/>
        <v>3.8E-3</v>
      </c>
      <c r="G42">
        <f t="shared" si="2"/>
        <v>4.8999999999999998E-3</v>
      </c>
      <c r="H42">
        <f t="shared" si="2"/>
        <v>6.0000000000000001E-3</v>
      </c>
      <c r="I42">
        <f t="shared" si="2"/>
        <v>7.6E-3</v>
      </c>
      <c r="J42">
        <f t="shared" si="2"/>
        <v>9.1999999999999998E-3</v>
      </c>
      <c r="K42">
        <f t="shared" si="2"/>
        <v>1.0200000000000001E-2</v>
      </c>
      <c r="L42">
        <f t="shared" si="2"/>
        <v>3.1199999999999999E-2</v>
      </c>
      <c r="M42">
        <f t="shared" si="2"/>
        <v>3.2000000000000001E-2</v>
      </c>
      <c r="N42">
        <f t="shared" si="2"/>
        <v>3.49E-2</v>
      </c>
      <c r="O42">
        <f t="shared" si="2"/>
        <v>3.6400000000000002E-2</v>
      </c>
      <c r="P42">
        <f t="shared" si="2"/>
        <v>3.7499999999999999E-2</v>
      </c>
      <c r="Q42">
        <f t="shared" si="2"/>
        <v>0.04</v>
      </c>
      <c r="R42">
        <f t="shared" si="2"/>
        <v>4.2099999999999999E-2</v>
      </c>
      <c r="S42">
        <f t="shared" si="2"/>
        <v>4.3700000000000003E-2</v>
      </c>
      <c r="T42">
        <f t="shared" si="2"/>
        <v>4.3999999999999997E-2</v>
      </c>
      <c r="U42">
        <f t="shared" si="2"/>
        <v>4.5600000000000002E-2</v>
      </c>
      <c r="V42">
        <f t="shared" si="2"/>
        <v>4.7300000000000002E-2</v>
      </c>
      <c r="W42">
        <f t="shared" si="2"/>
        <v>4.8099999999999997E-2</v>
      </c>
      <c r="X42">
        <f t="shared" si="2"/>
        <v>4.9399999999999999E-2</v>
      </c>
      <c r="Y42">
        <f t="shared" si="2"/>
        <v>5.0200000000000002E-2</v>
      </c>
      <c r="Z42">
        <f t="shared" si="2"/>
        <v>5.1700000000000003E-2</v>
      </c>
      <c r="AA42">
        <f t="shared" si="2"/>
        <v>5.2299999999999999E-2</v>
      </c>
      <c r="AB42">
        <f t="shared" si="2"/>
        <v>5.2900000000000003E-2</v>
      </c>
      <c r="AC42">
        <f t="shared" si="2"/>
        <v>5.2200000000000003E-2</v>
      </c>
      <c r="AD42">
        <f t="shared" si="2"/>
        <v>0.11899999999999999</v>
      </c>
      <c r="AE42">
        <f t="shared" si="2"/>
        <v>2.0400000000000001E-2</v>
      </c>
      <c r="AF42">
        <f t="shared" si="2"/>
        <v>2.0199999999999999E-2</v>
      </c>
      <c r="AG42">
        <f t="shared" si="2"/>
        <v>0.02</v>
      </c>
      <c r="AH42">
        <f t="shared" si="2"/>
        <v>1.9199999999999998E-2</v>
      </c>
      <c r="AI42">
        <f t="shared" si="2"/>
        <v>1.9300000000000001E-2</v>
      </c>
      <c r="AJ42">
        <f t="shared" si="2"/>
        <v>1.6799999999999999E-2</v>
      </c>
      <c r="AK42">
        <f t="shared" si="2"/>
        <v>1.5900000000000001E-2</v>
      </c>
      <c r="AL42">
        <f t="shared" si="2"/>
        <v>1.49E-2</v>
      </c>
      <c r="AM42">
        <f t="shared" si="2"/>
        <v>1.43E-2</v>
      </c>
      <c r="AN42">
        <f t="shared" si="2"/>
        <v>1.2699999999999999E-2</v>
      </c>
      <c r="AO42">
        <f t="shared" si="2"/>
        <v>9.1999999999999998E-3</v>
      </c>
      <c r="AP42">
        <f t="shared" si="2"/>
        <v>4.1000000000000003E-3</v>
      </c>
      <c r="AQ42">
        <f t="shared" si="2"/>
        <v>1.6000000000000001E-3</v>
      </c>
      <c r="AR42">
        <f t="shared" si="2"/>
        <v>6.7999999999999996E-3</v>
      </c>
      <c r="AS42">
        <f t="shared" si="2"/>
        <v>1.8100000000000002E-2</v>
      </c>
      <c r="AT42">
        <f t="shared" si="2"/>
        <v>1.78E-2</v>
      </c>
      <c r="AU42">
        <f t="shared" si="2"/>
        <v>1.72E-2</v>
      </c>
      <c r="AV42">
        <f t="shared" si="2"/>
        <v>1.66E-2</v>
      </c>
      <c r="AW42">
        <f t="shared" si="2"/>
        <v>1.7100000000000001E-2</v>
      </c>
      <c r="AX42">
        <f t="shared" si="2"/>
        <v>2.0500000000000001E-2</v>
      </c>
      <c r="AY42">
        <f t="shared" si="2"/>
        <v>2.63E-2</v>
      </c>
      <c r="AZ42">
        <f t="shared" si="2"/>
        <v>2.8400000000000002E-2</v>
      </c>
      <c r="BA42">
        <f t="shared" si="2"/>
        <v>2.6200000000000001E-2</v>
      </c>
    </row>
    <row r="43" spans="1:53" x14ac:dyDescent="0.3">
      <c r="A43" t="s">
        <v>4</v>
      </c>
      <c r="B43">
        <f t="shared" ref="B43:BA43" si="3">+ABS(B5)</f>
        <v>8.6499999999999994E-2</v>
      </c>
      <c r="C43">
        <f t="shared" si="3"/>
        <v>8.6499999999999994E-2</v>
      </c>
      <c r="D43">
        <f t="shared" si="3"/>
        <v>8.6999999999999994E-2</v>
      </c>
      <c r="E43">
        <f t="shared" si="3"/>
        <v>8.77E-2</v>
      </c>
      <c r="F43">
        <f t="shared" si="3"/>
        <v>5.9799999999999999E-2</v>
      </c>
      <c r="G43">
        <f t="shared" si="3"/>
        <v>5.9400000000000001E-2</v>
      </c>
      <c r="H43">
        <f t="shared" si="3"/>
        <v>5.8500000000000003E-2</v>
      </c>
      <c r="I43">
        <f t="shared" si="3"/>
        <v>5.8599999999999999E-2</v>
      </c>
      <c r="J43">
        <f t="shared" si="3"/>
        <v>5.74E-2</v>
      </c>
      <c r="K43">
        <f t="shared" si="3"/>
        <v>5.6500000000000002E-2</v>
      </c>
      <c r="L43">
        <f t="shared" si="3"/>
        <v>6.0199999999999997E-2</v>
      </c>
      <c r="M43">
        <f t="shared" si="3"/>
        <v>5.7299999999999997E-2</v>
      </c>
      <c r="N43">
        <f t="shared" si="3"/>
        <v>5.2999999999999999E-2</v>
      </c>
      <c r="O43">
        <f t="shared" si="3"/>
        <v>4.8800000000000003E-2</v>
      </c>
      <c r="P43">
        <f t="shared" si="3"/>
        <v>4.4499999999999998E-2</v>
      </c>
      <c r="Q43">
        <f t="shared" si="3"/>
        <v>0.04</v>
      </c>
      <c r="R43">
        <f t="shared" si="3"/>
        <v>3.7100000000000001E-2</v>
      </c>
      <c r="S43">
        <f t="shared" si="3"/>
        <v>3.44E-2</v>
      </c>
      <c r="T43">
        <f t="shared" si="3"/>
        <v>3.1899999999999998E-2</v>
      </c>
      <c r="U43">
        <f t="shared" si="3"/>
        <v>3.1E-2</v>
      </c>
      <c r="V43">
        <f t="shared" si="3"/>
        <v>2.9700000000000001E-2</v>
      </c>
      <c r="W43">
        <f t="shared" si="3"/>
        <v>2.8500000000000001E-2</v>
      </c>
      <c r="X43">
        <f t="shared" si="3"/>
        <v>2.86E-2</v>
      </c>
      <c r="Y43">
        <f t="shared" si="3"/>
        <v>2.7199999999999998E-2</v>
      </c>
      <c r="Z43">
        <f t="shared" si="3"/>
        <v>2.7900000000000001E-2</v>
      </c>
      <c r="AA43">
        <f t="shared" si="3"/>
        <v>2.8199999999999999E-2</v>
      </c>
      <c r="AB43">
        <f t="shared" si="3"/>
        <v>2.8299999999999999E-2</v>
      </c>
      <c r="AC43">
        <f t="shared" si="3"/>
        <v>2.8899999999999999E-2</v>
      </c>
      <c r="AD43">
        <f t="shared" si="3"/>
        <v>3.5999999999999999E-3</v>
      </c>
      <c r="AE43">
        <f t="shared" si="3"/>
        <v>8.6999999999999994E-2</v>
      </c>
      <c r="AF43">
        <f t="shared" si="3"/>
        <v>8.7400000000000005E-2</v>
      </c>
      <c r="AG43">
        <f t="shared" si="3"/>
        <v>8.7900000000000006E-2</v>
      </c>
      <c r="AH43">
        <f t="shared" si="3"/>
        <v>8.7400000000000005E-2</v>
      </c>
      <c r="AI43">
        <f t="shared" si="3"/>
        <v>8.7800000000000003E-2</v>
      </c>
      <c r="AJ43">
        <f t="shared" si="3"/>
        <v>8.8300000000000003E-2</v>
      </c>
      <c r="AK43">
        <f t="shared" si="3"/>
        <v>8.7499999999999994E-2</v>
      </c>
      <c r="AL43">
        <f t="shared" si="3"/>
        <v>8.6499999999999994E-2</v>
      </c>
      <c r="AM43">
        <f t="shared" si="3"/>
        <v>8.5500000000000007E-2</v>
      </c>
      <c r="AN43">
        <f t="shared" si="3"/>
        <v>8.4400000000000003E-2</v>
      </c>
      <c r="AO43">
        <f t="shared" si="3"/>
        <v>8.1699999999999995E-2</v>
      </c>
      <c r="AP43">
        <f t="shared" si="3"/>
        <v>7.7700000000000005E-2</v>
      </c>
      <c r="AQ43">
        <f t="shared" si="3"/>
        <v>7.5300000000000006E-2</v>
      </c>
      <c r="AR43">
        <f t="shared" si="3"/>
        <v>6.7699999999999996E-2</v>
      </c>
      <c r="AS43">
        <f t="shared" si="3"/>
        <v>5.79E-2</v>
      </c>
      <c r="AT43">
        <f t="shared" si="3"/>
        <v>2.1999999999999999E-2</v>
      </c>
      <c r="AU43">
        <f t="shared" si="3"/>
        <v>2.18E-2</v>
      </c>
      <c r="AV43">
        <f t="shared" si="3"/>
        <v>1.9900000000000001E-2</v>
      </c>
      <c r="AW43">
        <f t="shared" si="3"/>
        <v>1.61E-2</v>
      </c>
      <c r="AX43">
        <f t="shared" si="3"/>
        <v>1.2699999999999999E-2</v>
      </c>
      <c r="AY43">
        <f t="shared" si="3"/>
        <v>6.6E-3</v>
      </c>
      <c r="AZ43">
        <f t="shared" si="3"/>
        <v>8.3999999999999995E-3</v>
      </c>
      <c r="BA43">
        <f t="shared" si="3"/>
        <v>2.8400000000000002E-2</v>
      </c>
    </row>
    <row r="44" spans="1:53" x14ac:dyDescent="0.3">
      <c r="A44" t="s">
        <v>5</v>
      </c>
      <c r="B44">
        <f t="shared" ref="B44:BA44" si="4">+ABS(B6)</f>
        <v>0.21060000000000001</v>
      </c>
      <c r="C44">
        <f t="shared" si="4"/>
        <v>0.21060000000000001</v>
      </c>
      <c r="D44">
        <f t="shared" si="4"/>
        <v>0.20880000000000001</v>
      </c>
      <c r="E44">
        <f t="shared" si="4"/>
        <v>0.20649999999999999</v>
      </c>
      <c r="F44">
        <f t="shared" si="4"/>
        <v>0.18290000000000001</v>
      </c>
      <c r="G44">
        <f t="shared" si="4"/>
        <v>0.1787</v>
      </c>
      <c r="H44">
        <f t="shared" si="4"/>
        <v>0.17269999999999999</v>
      </c>
      <c r="I44">
        <f t="shared" si="4"/>
        <v>0.1663</v>
      </c>
      <c r="J44">
        <f t="shared" si="4"/>
        <v>0.15920000000000001</v>
      </c>
      <c r="K44">
        <f t="shared" si="4"/>
        <v>0.15160000000000001</v>
      </c>
      <c r="L44">
        <f t="shared" si="4"/>
        <v>0.1772</v>
      </c>
      <c r="M44">
        <f t="shared" si="4"/>
        <v>0.16980000000000001</v>
      </c>
      <c r="N44">
        <f t="shared" si="4"/>
        <v>0.1636</v>
      </c>
      <c r="O44">
        <f t="shared" si="4"/>
        <v>0.15740000000000001</v>
      </c>
      <c r="P44">
        <f t="shared" si="4"/>
        <v>0.151</v>
      </c>
      <c r="Q44">
        <f t="shared" si="4"/>
        <v>0.1444</v>
      </c>
      <c r="R44">
        <f t="shared" si="4"/>
        <v>0.13769999999999999</v>
      </c>
      <c r="S44">
        <f t="shared" si="4"/>
        <v>0.12959999999999999</v>
      </c>
      <c r="T44">
        <f t="shared" si="4"/>
        <v>0.12239999999999999</v>
      </c>
      <c r="U44">
        <f t="shared" si="4"/>
        <v>0.1143</v>
      </c>
      <c r="V44">
        <f t="shared" si="4"/>
        <v>0.10580000000000001</v>
      </c>
      <c r="W44">
        <f t="shared" si="4"/>
        <v>9.8799999999999999E-2</v>
      </c>
      <c r="X44">
        <f t="shared" si="4"/>
        <v>9.0800000000000006E-2</v>
      </c>
      <c r="Y44">
        <f t="shared" si="4"/>
        <v>8.1500000000000003E-2</v>
      </c>
      <c r="Z44">
        <f t="shared" si="4"/>
        <v>7.3599999999999999E-2</v>
      </c>
      <c r="AA44">
        <f t="shared" si="4"/>
        <v>6.4399999999999999E-2</v>
      </c>
      <c r="AB44">
        <f t="shared" si="4"/>
        <v>5.5500000000000001E-2</v>
      </c>
      <c r="AC44">
        <f t="shared" si="4"/>
        <v>4.65E-2</v>
      </c>
      <c r="AD44">
        <f t="shared" si="4"/>
        <v>5.3900000000000003E-2</v>
      </c>
      <c r="AE44">
        <f t="shared" si="4"/>
        <v>2.63E-2</v>
      </c>
      <c r="AF44">
        <f t="shared" si="4"/>
        <v>2.7199999999999998E-2</v>
      </c>
      <c r="AG44">
        <f t="shared" si="4"/>
        <v>2.86E-2</v>
      </c>
      <c r="AH44">
        <f t="shared" si="4"/>
        <v>3.09E-2</v>
      </c>
      <c r="AI44">
        <f t="shared" si="4"/>
        <v>3.27E-2</v>
      </c>
      <c r="AJ44">
        <f t="shared" si="4"/>
        <v>3.3799999999999997E-2</v>
      </c>
      <c r="AK44">
        <f t="shared" si="4"/>
        <v>3.5200000000000002E-2</v>
      </c>
      <c r="AL44">
        <f t="shared" si="4"/>
        <v>3.8699999999999998E-2</v>
      </c>
      <c r="AM44">
        <f t="shared" si="4"/>
        <v>4.1200000000000001E-2</v>
      </c>
      <c r="AN44">
        <f t="shared" si="4"/>
        <v>4.3200000000000002E-2</v>
      </c>
      <c r="AO44">
        <f t="shared" si="4"/>
        <v>4.4999999999999998E-2</v>
      </c>
      <c r="AP44">
        <f t="shared" si="4"/>
        <v>4.8399999999999999E-2</v>
      </c>
      <c r="AQ44">
        <f t="shared" si="4"/>
        <v>5.1799999999999999E-2</v>
      </c>
      <c r="AR44">
        <f t="shared" si="4"/>
        <v>5.74E-2</v>
      </c>
      <c r="AS44">
        <f t="shared" si="4"/>
        <v>6.3799999999999996E-2</v>
      </c>
      <c r="AT44">
        <f t="shared" si="4"/>
        <v>2.6599999999999999E-2</v>
      </c>
      <c r="AU44">
        <f t="shared" si="4"/>
        <v>1.9199999999999998E-2</v>
      </c>
      <c r="AV44">
        <f t="shared" si="4"/>
        <v>1.2500000000000001E-2</v>
      </c>
      <c r="AW44">
        <f t="shared" si="4"/>
        <v>4.1999999999999997E-3</v>
      </c>
      <c r="AX44">
        <f t="shared" si="4"/>
        <v>1E-4</v>
      </c>
      <c r="AY44">
        <f t="shared" si="4"/>
        <v>2.0999999999999999E-3</v>
      </c>
      <c r="AZ44">
        <f t="shared" si="4"/>
        <v>7.7000000000000002E-3</v>
      </c>
      <c r="BA44">
        <f t="shared" si="4"/>
        <v>1.0500000000000001E-2</v>
      </c>
    </row>
    <row r="45" spans="1:53" x14ac:dyDescent="0.3">
      <c r="A45" t="s">
        <v>6</v>
      </c>
      <c r="B45">
        <f t="shared" ref="B45:BA45" si="5">+ABS(B7)</f>
        <v>2.1700000000000001E-2</v>
      </c>
      <c r="C45">
        <f t="shared" si="5"/>
        <v>2.1700000000000001E-2</v>
      </c>
      <c r="D45">
        <f t="shared" si="5"/>
        <v>1.7600000000000001E-2</v>
      </c>
      <c r="E45">
        <f t="shared" si="5"/>
        <v>1.03E-2</v>
      </c>
      <c r="F45">
        <f t="shared" si="5"/>
        <v>1.8200000000000001E-2</v>
      </c>
      <c r="G45">
        <f t="shared" si="5"/>
        <v>1.9800000000000002E-2</v>
      </c>
      <c r="H45">
        <f t="shared" si="5"/>
        <v>2.12E-2</v>
      </c>
      <c r="I45">
        <f t="shared" si="5"/>
        <v>2.2200000000000001E-2</v>
      </c>
      <c r="J45">
        <f t="shared" si="5"/>
        <v>2.3400000000000001E-2</v>
      </c>
      <c r="K45">
        <f t="shared" si="5"/>
        <v>2.4E-2</v>
      </c>
      <c r="L45">
        <f t="shared" si="5"/>
        <v>4.1000000000000003E-3</v>
      </c>
      <c r="M45">
        <f t="shared" si="5"/>
        <v>3.0999999999999999E-3</v>
      </c>
      <c r="N45">
        <f t="shared" si="5"/>
        <v>2.8999999999999998E-3</v>
      </c>
      <c r="O45">
        <f t="shared" si="5"/>
        <v>1E-3</v>
      </c>
      <c r="P45">
        <f t="shared" si="5"/>
        <v>1.2999999999999999E-3</v>
      </c>
      <c r="Q45">
        <f t="shared" si="5"/>
        <v>2.3E-3</v>
      </c>
      <c r="R45">
        <f t="shared" si="5"/>
        <v>4.7999999999999996E-3</v>
      </c>
      <c r="S45">
        <f t="shared" si="5"/>
        <v>6.3E-3</v>
      </c>
      <c r="T45">
        <f t="shared" si="5"/>
        <v>6.1000000000000004E-3</v>
      </c>
      <c r="U45">
        <f t="shared" si="5"/>
        <v>7.0000000000000001E-3</v>
      </c>
      <c r="V45">
        <f t="shared" si="5"/>
        <v>7.0000000000000001E-3</v>
      </c>
      <c r="W45">
        <f t="shared" si="5"/>
        <v>6.4000000000000003E-3</v>
      </c>
      <c r="X45">
        <f t="shared" si="5"/>
        <v>6.7000000000000002E-3</v>
      </c>
      <c r="Y45">
        <f t="shared" si="5"/>
        <v>6.7000000000000002E-3</v>
      </c>
      <c r="Z45">
        <f t="shared" si="5"/>
        <v>7.4000000000000003E-3</v>
      </c>
      <c r="AA45">
        <f t="shared" si="5"/>
        <v>7.0000000000000001E-3</v>
      </c>
      <c r="AB45">
        <f t="shared" si="5"/>
        <v>7.6E-3</v>
      </c>
      <c r="AC45">
        <f t="shared" si="5"/>
        <v>6.4000000000000003E-3</v>
      </c>
      <c r="AD45">
        <f t="shared" si="5"/>
        <v>7.8899999999999998E-2</v>
      </c>
      <c r="AE45">
        <f t="shared" si="5"/>
        <v>0.61060000000000003</v>
      </c>
      <c r="AF45">
        <f t="shared" si="5"/>
        <v>0.6008</v>
      </c>
      <c r="AG45">
        <f t="shared" si="5"/>
        <v>0.59030000000000005</v>
      </c>
      <c r="AH45">
        <f t="shared" si="5"/>
        <v>0.5796</v>
      </c>
      <c r="AI45">
        <f t="shared" si="5"/>
        <v>0.56789999999999996</v>
      </c>
      <c r="AJ45">
        <f t="shared" si="5"/>
        <v>0.55459999999999998</v>
      </c>
      <c r="AK45">
        <f t="shared" si="5"/>
        <v>0.53979999999999995</v>
      </c>
      <c r="AL45">
        <f t="shared" si="5"/>
        <v>0.52180000000000004</v>
      </c>
      <c r="AM45">
        <f t="shared" si="5"/>
        <v>0.50219999999999998</v>
      </c>
      <c r="AN45">
        <f t="shared" si="5"/>
        <v>0.48070000000000002</v>
      </c>
      <c r="AO45">
        <f t="shared" si="5"/>
        <v>0.4541</v>
      </c>
      <c r="AP45">
        <f t="shared" si="5"/>
        <v>0.42120000000000002</v>
      </c>
      <c r="AQ45">
        <f t="shared" si="5"/>
        <v>0.37830000000000003</v>
      </c>
      <c r="AR45">
        <f t="shared" si="5"/>
        <v>0.32369999999999999</v>
      </c>
      <c r="AS45">
        <f t="shared" si="5"/>
        <v>0.24959999999999999</v>
      </c>
      <c r="AT45">
        <f t="shared" si="5"/>
        <v>0.63549999999999995</v>
      </c>
      <c r="AU45">
        <f t="shared" si="5"/>
        <v>0.6018</v>
      </c>
      <c r="AV45">
        <f t="shared" si="5"/>
        <v>0.56169999999999998</v>
      </c>
      <c r="AW45">
        <f t="shared" si="5"/>
        <v>0.51139999999999997</v>
      </c>
      <c r="AX45">
        <f t="shared" si="5"/>
        <v>0.45119999999999999</v>
      </c>
      <c r="AY45">
        <f t="shared" si="5"/>
        <v>0.3654</v>
      </c>
      <c r="AZ45">
        <f t="shared" si="5"/>
        <v>0.2273</v>
      </c>
      <c r="BA45">
        <f t="shared" si="5"/>
        <v>3.6799999999999999E-2</v>
      </c>
    </row>
    <row r="46" spans="1:53" x14ac:dyDescent="0.3">
      <c r="A46" t="s">
        <v>7</v>
      </c>
      <c r="B46">
        <f t="shared" ref="B46:BA46" si="6">+ABS(B8)</f>
        <v>3.4799999999999998E-2</v>
      </c>
      <c r="C46">
        <f t="shared" si="6"/>
        <v>3.4799999999999998E-2</v>
      </c>
      <c r="D46">
        <f t="shared" si="6"/>
        <v>3.4700000000000002E-2</v>
      </c>
      <c r="E46">
        <f t="shared" si="6"/>
        <v>3.4500000000000003E-2</v>
      </c>
      <c r="F46">
        <f t="shared" si="6"/>
        <v>2.3599999999999999E-2</v>
      </c>
      <c r="G46">
        <f t="shared" si="6"/>
        <v>2.4299999999999999E-2</v>
      </c>
      <c r="H46">
        <f t="shared" si="6"/>
        <v>2.41E-2</v>
      </c>
      <c r="I46">
        <f t="shared" si="6"/>
        <v>2.3900000000000001E-2</v>
      </c>
      <c r="J46">
        <f t="shared" si="6"/>
        <v>2.4400000000000002E-2</v>
      </c>
      <c r="K46">
        <f t="shared" si="6"/>
        <v>2.53E-2</v>
      </c>
      <c r="L46">
        <f t="shared" si="6"/>
        <v>3.6499999999999998E-2</v>
      </c>
      <c r="M46">
        <f t="shared" si="6"/>
        <v>3.6299999999999999E-2</v>
      </c>
      <c r="N46">
        <f t="shared" si="6"/>
        <v>3.61E-2</v>
      </c>
      <c r="O46">
        <f t="shared" si="6"/>
        <v>3.49E-2</v>
      </c>
      <c r="P46">
        <f t="shared" si="6"/>
        <v>3.4500000000000003E-2</v>
      </c>
      <c r="Q46">
        <f t="shared" si="6"/>
        <v>3.3500000000000002E-2</v>
      </c>
      <c r="R46">
        <f t="shared" si="6"/>
        <v>3.32E-2</v>
      </c>
      <c r="S46">
        <f t="shared" si="6"/>
        <v>3.3000000000000002E-2</v>
      </c>
      <c r="T46">
        <f t="shared" si="6"/>
        <v>3.3700000000000001E-2</v>
      </c>
      <c r="U46">
        <f t="shared" si="6"/>
        <v>3.3000000000000002E-2</v>
      </c>
      <c r="V46">
        <f t="shared" si="6"/>
        <v>3.39E-2</v>
      </c>
      <c r="W46">
        <f t="shared" si="6"/>
        <v>3.4099999999999998E-2</v>
      </c>
      <c r="X46">
        <f t="shared" si="6"/>
        <v>3.4599999999999999E-2</v>
      </c>
      <c r="Y46">
        <f t="shared" si="6"/>
        <v>3.56E-2</v>
      </c>
      <c r="Z46">
        <f t="shared" si="6"/>
        <v>3.5499999999999997E-2</v>
      </c>
      <c r="AA46">
        <f t="shared" si="6"/>
        <v>3.5999999999999997E-2</v>
      </c>
      <c r="AB46">
        <f t="shared" si="6"/>
        <v>3.6999999999999998E-2</v>
      </c>
      <c r="AC46">
        <f t="shared" si="6"/>
        <v>3.6900000000000002E-2</v>
      </c>
      <c r="AD46">
        <f t="shared" si="6"/>
        <v>4.7800000000000002E-2</v>
      </c>
      <c r="AE46">
        <f t="shared" si="6"/>
        <v>0.02</v>
      </c>
      <c r="AF46">
        <f t="shared" si="6"/>
        <v>1.9099999999999999E-2</v>
      </c>
      <c r="AG46">
        <f t="shared" si="6"/>
        <v>1.6500000000000001E-2</v>
      </c>
      <c r="AH46">
        <f t="shared" si="6"/>
        <v>1.49E-2</v>
      </c>
      <c r="AI46">
        <f t="shared" si="6"/>
        <v>1.2800000000000001E-2</v>
      </c>
      <c r="AJ46">
        <f t="shared" si="6"/>
        <v>1.21E-2</v>
      </c>
      <c r="AK46">
        <f t="shared" si="6"/>
        <v>1.0699999999999999E-2</v>
      </c>
      <c r="AL46">
        <f t="shared" si="6"/>
        <v>8.0999999999999996E-3</v>
      </c>
      <c r="AM46">
        <f t="shared" si="6"/>
        <v>4.8999999999999998E-3</v>
      </c>
      <c r="AN46">
        <f t="shared" si="6"/>
        <v>1.9E-3</v>
      </c>
      <c r="AO46">
        <f t="shared" si="6"/>
        <v>6.9999999999999999E-4</v>
      </c>
      <c r="AP46">
        <f t="shared" si="6"/>
        <v>1E-3</v>
      </c>
      <c r="AQ46">
        <f t="shared" si="6"/>
        <v>1.2999999999999999E-3</v>
      </c>
      <c r="AR46">
        <f t="shared" si="6"/>
        <v>1.8E-3</v>
      </c>
      <c r="AS46">
        <f t="shared" si="6"/>
        <v>3.8E-3</v>
      </c>
      <c r="AT46">
        <f t="shared" si="6"/>
        <v>3.9699999999999999E-2</v>
      </c>
      <c r="AU46">
        <f t="shared" si="6"/>
        <v>3.6999999999999998E-2</v>
      </c>
      <c r="AV46">
        <f t="shared" si="6"/>
        <v>3.4299999999999997E-2</v>
      </c>
      <c r="AW46">
        <f t="shared" si="6"/>
        <v>3.3300000000000003E-2</v>
      </c>
      <c r="AX46">
        <f t="shared" si="6"/>
        <v>3.5400000000000001E-2</v>
      </c>
      <c r="AY46">
        <f t="shared" si="6"/>
        <v>3.9399999999999998E-2</v>
      </c>
      <c r="AZ46">
        <f t="shared" si="6"/>
        <v>4.1799999999999997E-2</v>
      </c>
      <c r="BA46">
        <f t="shared" si="6"/>
        <v>4.6100000000000002E-2</v>
      </c>
    </row>
    <row r="47" spans="1:53" x14ac:dyDescent="0.3">
      <c r="A47" t="s">
        <v>8</v>
      </c>
      <c r="B47">
        <f t="shared" ref="B47:BA47" si="7">+ABS(B9)</f>
        <v>7.8200000000000006E-2</v>
      </c>
      <c r="C47">
        <f t="shared" si="7"/>
        <v>7.8200000000000006E-2</v>
      </c>
      <c r="D47">
        <f t="shared" si="7"/>
        <v>7.7100000000000002E-2</v>
      </c>
      <c r="E47">
        <f t="shared" si="7"/>
        <v>7.4499999999999997E-2</v>
      </c>
      <c r="F47">
        <f t="shared" si="7"/>
        <v>6.3200000000000006E-2</v>
      </c>
      <c r="G47">
        <f t="shared" si="7"/>
        <v>6.3399999999999998E-2</v>
      </c>
      <c r="H47">
        <f t="shared" si="7"/>
        <v>6.3E-2</v>
      </c>
      <c r="I47">
        <f t="shared" si="7"/>
        <v>6.1699999999999998E-2</v>
      </c>
      <c r="J47">
        <f t="shared" si="7"/>
        <v>6.0499999999999998E-2</v>
      </c>
      <c r="K47">
        <f t="shared" si="7"/>
        <v>0.06</v>
      </c>
      <c r="L47">
        <f t="shared" si="7"/>
        <v>6.7500000000000004E-2</v>
      </c>
      <c r="M47">
        <f t="shared" si="7"/>
        <v>6.7900000000000002E-2</v>
      </c>
      <c r="N47">
        <f t="shared" si="7"/>
        <v>6.8199999999999997E-2</v>
      </c>
      <c r="O47">
        <f t="shared" si="7"/>
        <v>6.8900000000000003E-2</v>
      </c>
      <c r="P47">
        <f t="shared" si="7"/>
        <v>6.93E-2</v>
      </c>
      <c r="Q47">
        <f t="shared" si="7"/>
        <v>6.8900000000000003E-2</v>
      </c>
      <c r="R47">
        <f t="shared" si="7"/>
        <v>6.8699999999999997E-2</v>
      </c>
      <c r="S47">
        <f t="shared" si="7"/>
        <v>6.8099999999999994E-2</v>
      </c>
      <c r="T47">
        <f t="shared" si="7"/>
        <v>6.6799999999999998E-2</v>
      </c>
      <c r="U47">
        <f t="shared" si="7"/>
        <v>6.6100000000000006E-2</v>
      </c>
      <c r="V47">
        <f t="shared" si="7"/>
        <v>6.5199999999999994E-2</v>
      </c>
      <c r="W47">
        <f t="shared" si="7"/>
        <v>6.5100000000000005E-2</v>
      </c>
      <c r="X47">
        <f t="shared" si="7"/>
        <v>6.4600000000000005E-2</v>
      </c>
      <c r="Y47">
        <f t="shared" si="7"/>
        <v>6.3899999999999998E-2</v>
      </c>
      <c r="Z47">
        <f t="shared" si="7"/>
        <v>6.4000000000000001E-2</v>
      </c>
      <c r="AA47">
        <f t="shared" si="7"/>
        <v>6.3100000000000003E-2</v>
      </c>
      <c r="AB47">
        <f t="shared" si="7"/>
        <v>6.2799999999999995E-2</v>
      </c>
      <c r="AC47">
        <f t="shared" si="7"/>
        <v>6.1800000000000001E-2</v>
      </c>
      <c r="AD47">
        <f t="shared" si="7"/>
        <v>7.9799999999999996E-2</v>
      </c>
      <c r="AE47">
        <f t="shared" si="7"/>
        <v>2.3800000000000002E-2</v>
      </c>
      <c r="AF47">
        <f t="shared" si="7"/>
        <v>2.4899999999999999E-2</v>
      </c>
      <c r="AG47">
        <f t="shared" si="7"/>
        <v>2.6599999999999999E-2</v>
      </c>
      <c r="AH47">
        <f t="shared" si="7"/>
        <v>2.7400000000000001E-2</v>
      </c>
      <c r="AI47">
        <f t="shared" si="7"/>
        <v>2.8899999999999999E-2</v>
      </c>
      <c r="AJ47">
        <f t="shared" si="7"/>
        <v>2.9700000000000001E-2</v>
      </c>
      <c r="AK47">
        <f t="shared" si="7"/>
        <v>2.98E-2</v>
      </c>
      <c r="AL47">
        <f t="shared" si="7"/>
        <v>3.0800000000000001E-2</v>
      </c>
      <c r="AM47">
        <f t="shared" si="7"/>
        <v>3.2500000000000001E-2</v>
      </c>
      <c r="AN47">
        <f t="shared" si="7"/>
        <v>3.4299999999999997E-2</v>
      </c>
      <c r="AO47">
        <f t="shared" si="7"/>
        <v>3.73E-2</v>
      </c>
      <c r="AP47">
        <f t="shared" si="7"/>
        <v>3.9199999999999999E-2</v>
      </c>
      <c r="AQ47">
        <f t="shared" si="7"/>
        <v>4.48E-2</v>
      </c>
      <c r="AR47">
        <f t="shared" si="7"/>
        <v>4.8300000000000003E-2</v>
      </c>
      <c r="AS47">
        <f t="shared" si="7"/>
        <v>5.4199999999999998E-2</v>
      </c>
      <c r="AT47">
        <f t="shared" si="7"/>
        <v>1.2999999999999999E-3</v>
      </c>
      <c r="AU47">
        <f t="shared" si="7"/>
        <v>2.5999999999999999E-3</v>
      </c>
      <c r="AV47">
        <f t="shared" si="7"/>
        <v>4.3E-3</v>
      </c>
      <c r="AW47">
        <f t="shared" si="7"/>
        <v>7.7999999999999996E-3</v>
      </c>
      <c r="AX47">
        <f t="shared" si="7"/>
        <v>1.12E-2</v>
      </c>
      <c r="AY47">
        <f t="shared" si="7"/>
        <v>1.9099999999999999E-2</v>
      </c>
      <c r="AZ47">
        <f t="shared" si="7"/>
        <v>3.6900000000000002E-2</v>
      </c>
      <c r="BA47">
        <f t="shared" si="7"/>
        <v>5.6800000000000003E-2</v>
      </c>
    </row>
    <row r="48" spans="1:53" x14ac:dyDescent="0.3">
      <c r="A48" t="s">
        <v>9</v>
      </c>
      <c r="B48">
        <f t="shared" ref="B48:BA48" si="8">+ABS(B10)</f>
        <v>5.1900000000000002E-2</v>
      </c>
      <c r="C48">
        <f t="shared" si="8"/>
        <v>5.1900000000000002E-2</v>
      </c>
      <c r="D48">
        <f t="shared" si="8"/>
        <v>5.1200000000000002E-2</v>
      </c>
      <c r="E48">
        <f t="shared" si="8"/>
        <v>5.0799999999999998E-2</v>
      </c>
      <c r="F48">
        <f t="shared" si="8"/>
        <v>4.41E-2</v>
      </c>
      <c r="G48">
        <f t="shared" si="8"/>
        <v>4.19E-2</v>
      </c>
      <c r="H48">
        <f t="shared" si="8"/>
        <v>3.9199999999999999E-2</v>
      </c>
      <c r="I48">
        <f t="shared" si="8"/>
        <v>3.61E-2</v>
      </c>
      <c r="J48">
        <f t="shared" si="8"/>
        <v>3.2800000000000003E-2</v>
      </c>
      <c r="K48">
        <f t="shared" si="8"/>
        <v>2.87E-2</v>
      </c>
      <c r="L48">
        <f t="shared" si="8"/>
        <v>2.2800000000000001E-2</v>
      </c>
      <c r="M48">
        <f t="shared" si="8"/>
        <v>2.0400000000000001E-2</v>
      </c>
      <c r="N48">
        <f t="shared" si="8"/>
        <v>1.95E-2</v>
      </c>
      <c r="O48">
        <f t="shared" si="8"/>
        <v>1.8200000000000001E-2</v>
      </c>
      <c r="P48">
        <f t="shared" si="8"/>
        <v>1.8200000000000001E-2</v>
      </c>
      <c r="Q48">
        <f t="shared" si="8"/>
        <v>1.5800000000000002E-2</v>
      </c>
      <c r="R48">
        <f t="shared" si="8"/>
        <v>1.2999999999999999E-2</v>
      </c>
      <c r="S48">
        <f t="shared" si="8"/>
        <v>9.7000000000000003E-3</v>
      </c>
      <c r="T48">
        <f t="shared" si="8"/>
        <v>5.4000000000000003E-3</v>
      </c>
      <c r="U48">
        <f t="shared" si="8"/>
        <v>1E-4</v>
      </c>
      <c r="V48">
        <f t="shared" si="8"/>
        <v>5.5999999999999999E-3</v>
      </c>
      <c r="W48">
        <f t="shared" si="8"/>
        <v>1.23E-2</v>
      </c>
      <c r="X48">
        <f t="shared" si="8"/>
        <v>1.89E-2</v>
      </c>
      <c r="Y48">
        <f t="shared" si="8"/>
        <v>2.5700000000000001E-2</v>
      </c>
      <c r="Z48">
        <f t="shared" si="8"/>
        <v>3.3099999999999997E-2</v>
      </c>
      <c r="AA48">
        <f t="shared" si="8"/>
        <v>4.1599999999999998E-2</v>
      </c>
      <c r="AB48">
        <f t="shared" si="8"/>
        <v>4.9500000000000002E-2</v>
      </c>
      <c r="AC48">
        <f t="shared" si="8"/>
        <v>5.8000000000000003E-2</v>
      </c>
      <c r="AD48">
        <f t="shared" si="8"/>
        <v>6.6600000000000006E-2</v>
      </c>
      <c r="AE48">
        <f t="shared" si="8"/>
        <v>9.1800000000000007E-2</v>
      </c>
      <c r="AF48">
        <f t="shared" si="8"/>
        <v>8.6999999999999994E-2</v>
      </c>
      <c r="AG48">
        <f t="shared" si="8"/>
        <v>8.0600000000000005E-2</v>
      </c>
      <c r="AH48">
        <f t="shared" si="8"/>
        <v>7.51E-2</v>
      </c>
      <c r="AI48">
        <f t="shared" si="8"/>
        <v>6.9599999999999995E-2</v>
      </c>
      <c r="AJ48">
        <f t="shared" si="8"/>
        <v>6.2700000000000006E-2</v>
      </c>
      <c r="AK48">
        <f t="shared" si="8"/>
        <v>5.6300000000000003E-2</v>
      </c>
      <c r="AL48">
        <f t="shared" si="8"/>
        <v>4.8800000000000003E-2</v>
      </c>
      <c r="AM48">
        <f t="shared" si="8"/>
        <v>4.2299999999999997E-2</v>
      </c>
      <c r="AN48">
        <f t="shared" si="8"/>
        <v>3.5700000000000003E-2</v>
      </c>
      <c r="AO48">
        <f t="shared" si="8"/>
        <v>3.15E-2</v>
      </c>
      <c r="AP48">
        <f t="shared" si="8"/>
        <v>2.69E-2</v>
      </c>
      <c r="AQ48">
        <f t="shared" si="8"/>
        <v>2.2499999999999999E-2</v>
      </c>
      <c r="AR48">
        <f t="shared" si="8"/>
        <v>2.1100000000000001E-2</v>
      </c>
      <c r="AS48">
        <f t="shared" si="8"/>
        <v>1.77E-2</v>
      </c>
      <c r="AT48">
        <f t="shared" si="8"/>
        <v>0.24540000000000001</v>
      </c>
      <c r="AU48">
        <f t="shared" si="8"/>
        <v>0.21779999999999999</v>
      </c>
      <c r="AV48">
        <f t="shared" si="8"/>
        <v>0.189</v>
      </c>
      <c r="AW48">
        <f t="shared" si="8"/>
        <v>0.15859999999999999</v>
      </c>
      <c r="AX48">
        <f t="shared" si="8"/>
        <v>0.13039999999999999</v>
      </c>
      <c r="AY48">
        <f t="shared" si="8"/>
        <v>0.1004</v>
      </c>
      <c r="AZ48">
        <f t="shared" si="8"/>
        <v>6.6500000000000004E-2</v>
      </c>
      <c r="BA48">
        <f t="shared" si="8"/>
        <v>2.0299999999999999E-2</v>
      </c>
    </row>
    <row r="49" spans="1:53" x14ac:dyDescent="0.3">
      <c r="A49" t="s">
        <v>10</v>
      </c>
      <c r="B49">
        <f t="shared" ref="B49:BA49" si="9">+ABS(B11)</f>
        <v>0.5</v>
      </c>
      <c r="C49">
        <f t="shared" si="9"/>
        <v>0.5</v>
      </c>
      <c r="D49">
        <f t="shared" si="9"/>
        <v>0.50060000000000004</v>
      </c>
      <c r="E49">
        <f t="shared" si="9"/>
        <v>0.50239999999999996</v>
      </c>
      <c r="F49">
        <f t="shared" si="9"/>
        <v>0.46079999999999999</v>
      </c>
      <c r="G49">
        <f t="shared" si="9"/>
        <v>0.4622</v>
      </c>
      <c r="H49">
        <f t="shared" si="9"/>
        <v>0.4642</v>
      </c>
      <c r="I49">
        <f t="shared" si="9"/>
        <v>0.4662</v>
      </c>
      <c r="J49">
        <f t="shared" si="9"/>
        <v>0.46789999999999998</v>
      </c>
      <c r="K49">
        <f t="shared" si="9"/>
        <v>0.46779999999999999</v>
      </c>
      <c r="L49">
        <f t="shared" si="9"/>
        <v>0.50770000000000004</v>
      </c>
      <c r="M49">
        <f t="shared" si="9"/>
        <v>0.50870000000000004</v>
      </c>
      <c r="N49">
        <f t="shared" si="9"/>
        <v>0.50839999999999996</v>
      </c>
      <c r="O49">
        <f t="shared" si="9"/>
        <v>0.50800000000000001</v>
      </c>
      <c r="P49">
        <f t="shared" si="9"/>
        <v>0.50519999999999998</v>
      </c>
      <c r="Q49">
        <f t="shared" si="9"/>
        <v>0.50270000000000004</v>
      </c>
      <c r="R49">
        <f t="shared" si="9"/>
        <v>0.49990000000000001</v>
      </c>
      <c r="S49">
        <f t="shared" si="9"/>
        <v>0.497</v>
      </c>
      <c r="T49">
        <f t="shared" si="9"/>
        <v>0.49459999999999998</v>
      </c>
      <c r="U49">
        <f t="shared" si="9"/>
        <v>0.49130000000000001</v>
      </c>
      <c r="V49">
        <f t="shared" si="9"/>
        <v>0.48799999999999999</v>
      </c>
      <c r="W49">
        <f t="shared" si="9"/>
        <v>0.48480000000000001</v>
      </c>
      <c r="X49">
        <f t="shared" si="9"/>
        <v>0.48220000000000002</v>
      </c>
      <c r="Y49">
        <f t="shared" si="9"/>
        <v>0.47860000000000003</v>
      </c>
      <c r="Z49">
        <f t="shared" si="9"/>
        <v>0.47520000000000001</v>
      </c>
      <c r="AA49">
        <f t="shared" si="9"/>
        <v>0.47160000000000002</v>
      </c>
      <c r="AB49">
        <f t="shared" si="9"/>
        <v>0.46750000000000003</v>
      </c>
      <c r="AC49">
        <f t="shared" si="9"/>
        <v>0.46439999999999998</v>
      </c>
      <c r="AD49">
        <f t="shared" si="9"/>
        <v>3.5099999999999999E-2</v>
      </c>
      <c r="AE49">
        <f t="shared" si="9"/>
        <v>2.0000000000000001E-4</v>
      </c>
      <c r="AF49">
        <f t="shared" si="9"/>
        <v>1.1000000000000001E-3</v>
      </c>
      <c r="AG49">
        <f t="shared" si="9"/>
        <v>8.0000000000000004E-4</v>
      </c>
      <c r="AH49">
        <f t="shared" si="9"/>
        <v>2.2000000000000001E-3</v>
      </c>
      <c r="AI49">
        <f t="shared" si="9"/>
        <v>3.2000000000000002E-3</v>
      </c>
      <c r="AJ49">
        <f t="shared" si="9"/>
        <v>4.3E-3</v>
      </c>
      <c r="AK49">
        <f t="shared" si="9"/>
        <v>5.4000000000000003E-3</v>
      </c>
      <c r="AL49">
        <f t="shared" si="9"/>
        <v>5.7999999999999996E-3</v>
      </c>
      <c r="AM49">
        <f t="shared" si="9"/>
        <v>7.3000000000000001E-3</v>
      </c>
      <c r="AN49">
        <f t="shared" si="9"/>
        <v>8.3000000000000001E-3</v>
      </c>
      <c r="AO49">
        <f t="shared" si="9"/>
        <v>1.17E-2</v>
      </c>
      <c r="AP49">
        <f t="shared" si="9"/>
        <v>1.3299999999999999E-2</v>
      </c>
      <c r="AQ49">
        <f t="shared" si="9"/>
        <v>1.61E-2</v>
      </c>
      <c r="AR49">
        <f t="shared" si="9"/>
        <v>2.3300000000000001E-2</v>
      </c>
      <c r="AS49">
        <f t="shared" si="9"/>
        <v>2.6599999999999999E-2</v>
      </c>
      <c r="AT49">
        <f t="shared" si="9"/>
        <v>1.17E-2</v>
      </c>
      <c r="AU49">
        <f t="shared" si="9"/>
        <v>1.5299999999999999E-2</v>
      </c>
      <c r="AV49">
        <f t="shared" si="9"/>
        <v>2.0299999999999999E-2</v>
      </c>
      <c r="AW49">
        <f t="shared" si="9"/>
        <v>2.5899999999999999E-2</v>
      </c>
      <c r="AX49">
        <f t="shared" si="9"/>
        <v>3.3099999999999997E-2</v>
      </c>
      <c r="AY49">
        <f t="shared" si="9"/>
        <v>4.3499999999999997E-2</v>
      </c>
      <c r="AZ49">
        <f t="shared" si="9"/>
        <v>5.3999999999999999E-2</v>
      </c>
      <c r="BA49">
        <f t="shared" si="9"/>
        <v>6.5600000000000006E-2</v>
      </c>
    </row>
    <row r="50" spans="1:53" x14ac:dyDescent="0.3">
      <c r="A50" t="s">
        <v>11</v>
      </c>
      <c r="B50">
        <f t="shared" ref="B50:BA50" si="10">+ABS(B12)</f>
        <v>0.51290000000000002</v>
      </c>
      <c r="C50">
        <f t="shared" si="10"/>
        <v>0.51290000000000002</v>
      </c>
      <c r="D50">
        <f t="shared" si="10"/>
        <v>0.5171</v>
      </c>
      <c r="E50">
        <f t="shared" si="10"/>
        <v>0.52300000000000002</v>
      </c>
      <c r="F50">
        <f t="shared" si="10"/>
        <v>0.57350000000000001</v>
      </c>
      <c r="G50">
        <f t="shared" si="10"/>
        <v>0.57940000000000003</v>
      </c>
      <c r="H50">
        <f t="shared" si="10"/>
        <v>0.58650000000000002</v>
      </c>
      <c r="I50">
        <f t="shared" si="10"/>
        <v>0.59389999999999998</v>
      </c>
      <c r="J50">
        <f t="shared" si="10"/>
        <v>0.60070000000000001</v>
      </c>
      <c r="K50">
        <f t="shared" si="10"/>
        <v>0.60629999999999995</v>
      </c>
      <c r="L50">
        <f t="shared" si="10"/>
        <v>0.62749999999999995</v>
      </c>
      <c r="M50">
        <f t="shared" si="10"/>
        <v>0.6371</v>
      </c>
      <c r="N50">
        <f t="shared" si="10"/>
        <v>0.6472</v>
      </c>
      <c r="O50">
        <f t="shared" si="10"/>
        <v>0.65600000000000003</v>
      </c>
      <c r="P50">
        <f t="shared" si="10"/>
        <v>0.66369999999999996</v>
      </c>
      <c r="Q50">
        <f t="shared" si="10"/>
        <v>0.66930000000000001</v>
      </c>
      <c r="R50">
        <f t="shared" si="10"/>
        <v>0.67300000000000004</v>
      </c>
      <c r="S50">
        <f t="shared" si="10"/>
        <v>0.6764</v>
      </c>
      <c r="T50">
        <f t="shared" si="10"/>
        <v>0.68030000000000002</v>
      </c>
      <c r="U50">
        <f t="shared" si="10"/>
        <v>0.68340000000000001</v>
      </c>
      <c r="V50">
        <f t="shared" si="10"/>
        <v>0.68740000000000001</v>
      </c>
      <c r="W50">
        <f t="shared" si="10"/>
        <v>0.69110000000000005</v>
      </c>
      <c r="X50">
        <f t="shared" si="10"/>
        <v>0.69430000000000003</v>
      </c>
      <c r="Y50">
        <f t="shared" si="10"/>
        <v>0.69789999999999996</v>
      </c>
      <c r="Z50">
        <f t="shared" si="10"/>
        <v>0.70150000000000001</v>
      </c>
      <c r="AA50">
        <f t="shared" si="10"/>
        <v>0.7056</v>
      </c>
      <c r="AB50">
        <f t="shared" si="10"/>
        <v>0.70960000000000001</v>
      </c>
      <c r="AC50">
        <f t="shared" si="10"/>
        <v>0.71330000000000005</v>
      </c>
      <c r="AD50">
        <f t="shared" si="10"/>
        <v>1.5E-3</v>
      </c>
      <c r="AE50">
        <f t="shared" si="10"/>
        <v>4.7399999999999998E-2</v>
      </c>
      <c r="AF50">
        <f t="shared" si="10"/>
        <v>4.7699999999999999E-2</v>
      </c>
      <c r="AG50">
        <f t="shared" si="10"/>
        <v>4.6199999999999998E-2</v>
      </c>
      <c r="AH50">
        <f t="shared" si="10"/>
        <v>4.5100000000000001E-2</v>
      </c>
      <c r="AI50">
        <f t="shared" si="10"/>
        <v>4.3999999999999997E-2</v>
      </c>
      <c r="AJ50">
        <f t="shared" si="10"/>
        <v>4.2999999999999997E-2</v>
      </c>
      <c r="AK50">
        <f t="shared" si="10"/>
        <v>4.1500000000000002E-2</v>
      </c>
      <c r="AL50">
        <f t="shared" si="10"/>
        <v>3.9899999999999998E-2</v>
      </c>
      <c r="AM50">
        <f t="shared" si="10"/>
        <v>3.8399999999999997E-2</v>
      </c>
      <c r="AN50">
        <f t="shared" si="10"/>
        <v>3.5000000000000003E-2</v>
      </c>
      <c r="AO50">
        <f t="shared" si="10"/>
        <v>3.32E-2</v>
      </c>
      <c r="AP50">
        <f t="shared" si="10"/>
        <v>2.9000000000000001E-2</v>
      </c>
      <c r="AQ50">
        <f t="shared" si="10"/>
        <v>2.8799999999999999E-2</v>
      </c>
      <c r="AR50">
        <f t="shared" si="10"/>
        <v>2.8899999999999999E-2</v>
      </c>
      <c r="AS50">
        <f t="shared" si="10"/>
        <v>2.9499999999999998E-2</v>
      </c>
      <c r="AT50">
        <f t="shared" si="10"/>
        <v>2.07E-2</v>
      </c>
      <c r="AU50">
        <f t="shared" si="10"/>
        <v>1.23E-2</v>
      </c>
      <c r="AV50">
        <f t="shared" si="10"/>
        <v>1.1999999999999999E-3</v>
      </c>
      <c r="AW50">
        <f t="shared" si="10"/>
        <v>9.7999999999999997E-3</v>
      </c>
      <c r="AX50">
        <f t="shared" si="10"/>
        <v>1.9800000000000002E-2</v>
      </c>
      <c r="AY50">
        <f t="shared" si="10"/>
        <v>3.7999999999999999E-2</v>
      </c>
      <c r="AZ50">
        <f t="shared" si="10"/>
        <v>5.7200000000000001E-2</v>
      </c>
      <c r="BA50">
        <f t="shared" si="10"/>
        <v>6.3500000000000001E-2</v>
      </c>
    </row>
    <row r="51" spans="1:53" x14ac:dyDescent="0.3">
      <c r="A51" t="s">
        <v>12</v>
      </c>
      <c r="B51">
        <f t="shared" ref="B51:BA51" si="11">+ABS(B13)</f>
        <v>6.4000000000000003E-3</v>
      </c>
      <c r="C51">
        <f t="shared" si="11"/>
        <v>6.4000000000000003E-3</v>
      </c>
      <c r="D51">
        <f t="shared" si="11"/>
        <v>7.1000000000000004E-3</v>
      </c>
      <c r="E51">
        <f t="shared" si="11"/>
        <v>8.2000000000000007E-3</v>
      </c>
      <c r="F51">
        <f t="shared" si="11"/>
        <v>3.6600000000000001E-2</v>
      </c>
      <c r="G51">
        <f t="shared" si="11"/>
        <v>3.6600000000000001E-2</v>
      </c>
      <c r="H51">
        <f t="shared" si="11"/>
        <v>3.6799999999999999E-2</v>
      </c>
      <c r="I51">
        <f t="shared" si="11"/>
        <v>3.6400000000000002E-2</v>
      </c>
      <c r="J51">
        <f t="shared" si="11"/>
        <v>3.7900000000000003E-2</v>
      </c>
      <c r="K51">
        <f t="shared" si="11"/>
        <v>3.9199999999999999E-2</v>
      </c>
      <c r="L51">
        <f t="shared" si="11"/>
        <v>3.8300000000000001E-2</v>
      </c>
      <c r="M51">
        <f t="shared" si="11"/>
        <v>4.1799999999999997E-2</v>
      </c>
      <c r="N51">
        <f t="shared" si="11"/>
        <v>4.4999999999999998E-2</v>
      </c>
      <c r="O51">
        <f t="shared" si="11"/>
        <v>4.8800000000000003E-2</v>
      </c>
      <c r="P51">
        <f t="shared" si="11"/>
        <v>5.2200000000000003E-2</v>
      </c>
      <c r="Q51">
        <f t="shared" si="11"/>
        <v>5.5100000000000003E-2</v>
      </c>
      <c r="R51">
        <f t="shared" si="11"/>
        <v>5.7299999999999997E-2</v>
      </c>
      <c r="S51">
        <f t="shared" si="11"/>
        <v>5.8400000000000001E-2</v>
      </c>
      <c r="T51">
        <f t="shared" si="11"/>
        <v>5.9299999999999999E-2</v>
      </c>
      <c r="U51">
        <f t="shared" si="11"/>
        <v>5.9400000000000001E-2</v>
      </c>
      <c r="V51">
        <f t="shared" si="11"/>
        <v>5.96E-2</v>
      </c>
      <c r="W51">
        <f t="shared" si="11"/>
        <v>6.0299999999999999E-2</v>
      </c>
      <c r="X51">
        <f t="shared" si="11"/>
        <v>6.1100000000000002E-2</v>
      </c>
      <c r="Y51">
        <f t="shared" si="11"/>
        <v>6.1199999999999997E-2</v>
      </c>
      <c r="Z51">
        <f t="shared" si="11"/>
        <v>6.2100000000000002E-2</v>
      </c>
      <c r="AA51">
        <f t="shared" si="11"/>
        <v>6.1600000000000002E-2</v>
      </c>
      <c r="AB51">
        <f t="shared" si="11"/>
        <v>6.0699999999999997E-2</v>
      </c>
      <c r="AC51">
        <f t="shared" si="11"/>
        <v>5.9700000000000003E-2</v>
      </c>
      <c r="AD51">
        <f t="shared" si="11"/>
        <v>5.8900000000000001E-2</v>
      </c>
      <c r="AE51">
        <f t="shared" si="11"/>
        <v>2.3699999999999999E-2</v>
      </c>
      <c r="AF51">
        <f t="shared" si="11"/>
        <v>2.3800000000000002E-2</v>
      </c>
      <c r="AG51">
        <f t="shared" si="11"/>
        <v>2.29E-2</v>
      </c>
      <c r="AH51">
        <f t="shared" si="11"/>
        <v>2.1999999999999999E-2</v>
      </c>
      <c r="AI51">
        <f t="shared" si="11"/>
        <v>2.1600000000000001E-2</v>
      </c>
      <c r="AJ51">
        <f t="shared" si="11"/>
        <v>2.1600000000000001E-2</v>
      </c>
      <c r="AK51">
        <f t="shared" si="11"/>
        <v>2.1499999999999998E-2</v>
      </c>
      <c r="AL51">
        <f t="shared" si="11"/>
        <v>1.8800000000000001E-2</v>
      </c>
      <c r="AM51">
        <f t="shared" si="11"/>
        <v>1.77E-2</v>
      </c>
      <c r="AN51">
        <f t="shared" si="11"/>
        <v>1.7899999999999999E-2</v>
      </c>
      <c r="AO51">
        <f t="shared" si="11"/>
        <v>1.8100000000000002E-2</v>
      </c>
      <c r="AP51">
        <f t="shared" si="11"/>
        <v>1.9300000000000001E-2</v>
      </c>
      <c r="AQ51">
        <f t="shared" si="11"/>
        <v>2.12E-2</v>
      </c>
      <c r="AR51">
        <f t="shared" si="11"/>
        <v>2.53E-2</v>
      </c>
      <c r="AS51">
        <f t="shared" si="11"/>
        <v>2.8299999999999999E-2</v>
      </c>
      <c r="AT51">
        <f t="shared" si="11"/>
        <v>1.7999999999999999E-2</v>
      </c>
      <c r="AU51">
        <f t="shared" si="11"/>
        <v>1.6199999999999999E-2</v>
      </c>
      <c r="AV51">
        <f t="shared" si="11"/>
        <v>1.52E-2</v>
      </c>
      <c r="AW51">
        <f t="shared" si="11"/>
        <v>1.3599999999999999E-2</v>
      </c>
      <c r="AX51">
        <f t="shared" si="11"/>
        <v>1.24E-2</v>
      </c>
      <c r="AY51">
        <f t="shared" si="11"/>
        <v>0.01</v>
      </c>
      <c r="AZ51">
        <f t="shared" si="11"/>
        <v>1.03E-2</v>
      </c>
      <c r="BA51">
        <f t="shared" si="11"/>
        <v>5.1999999999999998E-3</v>
      </c>
    </row>
    <row r="52" spans="1:53" x14ac:dyDescent="0.3">
      <c r="A52" t="s">
        <v>13</v>
      </c>
      <c r="B52">
        <f t="shared" ref="B52:BA52" si="12">+ABS(B14)</f>
        <v>1.6799999999999999E-2</v>
      </c>
      <c r="C52">
        <f t="shared" si="12"/>
        <v>1.6799999999999999E-2</v>
      </c>
      <c r="D52">
        <f t="shared" si="12"/>
        <v>1.66E-2</v>
      </c>
      <c r="E52">
        <f t="shared" si="12"/>
        <v>1.5599999999999999E-2</v>
      </c>
      <c r="F52">
        <f t="shared" si="12"/>
        <v>1.2699999999999999E-2</v>
      </c>
      <c r="G52">
        <f t="shared" si="12"/>
        <v>1.0999999999999999E-2</v>
      </c>
      <c r="H52">
        <f t="shared" si="12"/>
        <v>8.9999999999999993E-3</v>
      </c>
      <c r="I52">
        <f t="shared" si="12"/>
        <v>8.0999999999999996E-3</v>
      </c>
      <c r="J52">
        <f t="shared" si="12"/>
        <v>6.7000000000000002E-3</v>
      </c>
      <c r="K52">
        <f t="shared" si="12"/>
        <v>6.6E-3</v>
      </c>
      <c r="L52">
        <f t="shared" si="12"/>
        <v>7.9000000000000008E-3</v>
      </c>
      <c r="M52">
        <f t="shared" si="12"/>
        <v>5.3E-3</v>
      </c>
      <c r="N52">
        <f t="shared" si="12"/>
        <v>2.2000000000000001E-3</v>
      </c>
      <c r="O52">
        <f t="shared" si="12"/>
        <v>2.9999999999999997E-4</v>
      </c>
      <c r="P52">
        <f t="shared" si="12"/>
        <v>2.9999999999999997E-4</v>
      </c>
      <c r="Q52">
        <f t="shared" si="12"/>
        <v>1.2999999999999999E-3</v>
      </c>
      <c r="R52">
        <f t="shared" si="12"/>
        <v>1.9E-3</v>
      </c>
      <c r="S52">
        <f t="shared" si="12"/>
        <v>2.3E-3</v>
      </c>
      <c r="T52">
        <f t="shared" si="12"/>
        <v>3.3E-3</v>
      </c>
      <c r="U52">
        <f t="shared" si="12"/>
        <v>3.3E-3</v>
      </c>
      <c r="V52">
        <f t="shared" si="12"/>
        <v>2.7000000000000001E-3</v>
      </c>
      <c r="W52">
        <f t="shared" si="12"/>
        <v>2.3999999999999998E-3</v>
      </c>
      <c r="X52">
        <f t="shared" si="12"/>
        <v>1.9E-3</v>
      </c>
      <c r="Y52">
        <f t="shared" si="12"/>
        <v>5.0000000000000001E-4</v>
      </c>
      <c r="Z52">
        <f t="shared" si="12"/>
        <v>4.0000000000000002E-4</v>
      </c>
      <c r="AA52">
        <f t="shared" si="12"/>
        <v>1.5E-3</v>
      </c>
      <c r="AB52">
        <f t="shared" si="12"/>
        <v>2.7000000000000001E-3</v>
      </c>
      <c r="AC52">
        <f t="shared" si="12"/>
        <v>4.3E-3</v>
      </c>
      <c r="AD52">
        <f t="shared" si="12"/>
        <v>3.2300000000000002E-2</v>
      </c>
      <c r="AE52">
        <f t="shared" si="12"/>
        <v>9.1499999999999998E-2</v>
      </c>
      <c r="AF52">
        <f t="shared" si="12"/>
        <v>9.2100000000000001E-2</v>
      </c>
      <c r="AG52">
        <f t="shared" si="12"/>
        <v>9.2399999999999996E-2</v>
      </c>
      <c r="AH52">
        <f t="shared" si="12"/>
        <v>9.3100000000000002E-2</v>
      </c>
      <c r="AI52">
        <f t="shared" si="12"/>
        <v>9.4399999999999998E-2</v>
      </c>
      <c r="AJ52">
        <f t="shared" si="12"/>
        <v>9.5200000000000007E-2</v>
      </c>
      <c r="AK52">
        <f t="shared" si="12"/>
        <v>9.5699999999999993E-2</v>
      </c>
      <c r="AL52">
        <f t="shared" si="12"/>
        <v>9.6000000000000002E-2</v>
      </c>
      <c r="AM52">
        <f t="shared" si="12"/>
        <v>9.5399999999999999E-2</v>
      </c>
      <c r="AN52">
        <f t="shared" si="12"/>
        <v>9.3899999999999997E-2</v>
      </c>
      <c r="AO52">
        <f t="shared" si="12"/>
        <v>9.5100000000000004E-2</v>
      </c>
      <c r="AP52">
        <f t="shared" si="12"/>
        <v>9.4799999999999995E-2</v>
      </c>
      <c r="AQ52">
        <f t="shared" si="12"/>
        <v>9.1300000000000006E-2</v>
      </c>
      <c r="AR52">
        <f t="shared" si="12"/>
        <v>8.7999999999999995E-2</v>
      </c>
      <c r="AS52">
        <f t="shared" si="12"/>
        <v>8.1199999999999994E-2</v>
      </c>
      <c r="AT52">
        <f t="shared" si="12"/>
        <v>4.7600000000000003E-2</v>
      </c>
      <c r="AU52">
        <f t="shared" si="12"/>
        <v>5.3199999999999997E-2</v>
      </c>
      <c r="AV52">
        <f t="shared" si="12"/>
        <v>5.9799999999999999E-2</v>
      </c>
      <c r="AW52">
        <f t="shared" si="12"/>
        <v>6.5100000000000005E-2</v>
      </c>
      <c r="AX52">
        <f t="shared" si="12"/>
        <v>7.2599999999999998E-2</v>
      </c>
      <c r="AY52">
        <f t="shared" si="12"/>
        <v>7.7600000000000002E-2</v>
      </c>
      <c r="AZ52">
        <f t="shared" si="12"/>
        <v>8.0600000000000005E-2</v>
      </c>
      <c r="BA52">
        <f t="shared" si="12"/>
        <v>4.3799999999999999E-2</v>
      </c>
    </row>
    <row r="53" spans="1:53" x14ac:dyDescent="0.3">
      <c r="A53" t="s">
        <v>14</v>
      </c>
      <c r="B53">
        <f t="shared" ref="B53:BA53" si="13">+ABS(B15)</f>
        <v>1.5900000000000001E-2</v>
      </c>
      <c r="C53">
        <f t="shared" si="13"/>
        <v>1.5900000000000001E-2</v>
      </c>
      <c r="D53">
        <f t="shared" si="13"/>
        <v>1.66E-2</v>
      </c>
      <c r="E53">
        <f t="shared" si="13"/>
        <v>1.6299999999999999E-2</v>
      </c>
      <c r="F53">
        <f t="shared" si="13"/>
        <v>1.2200000000000001E-2</v>
      </c>
      <c r="G53">
        <f t="shared" si="13"/>
        <v>1.29E-2</v>
      </c>
      <c r="H53">
        <f t="shared" si="13"/>
        <v>1.3299999999999999E-2</v>
      </c>
      <c r="I53">
        <f t="shared" si="13"/>
        <v>1.4200000000000001E-2</v>
      </c>
      <c r="J53">
        <f t="shared" si="13"/>
        <v>1.4800000000000001E-2</v>
      </c>
      <c r="K53">
        <f t="shared" si="13"/>
        <v>1.6199999999999999E-2</v>
      </c>
      <c r="L53">
        <f t="shared" si="13"/>
        <v>7.1000000000000004E-3</v>
      </c>
      <c r="M53">
        <f t="shared" si="13"/>
        <v>6.4999999999999997E-3</v>
      </c>
      <c r="N53">
        <f t="shared" si="13"/>
        <v>3.8E-3</v>
      </c>
      <c r="O53">
        <f t="shared" si="13"/>
        <v>1.6999999999999999E-3</v>
      </c>
      <c r="P53">
        <f t="shared" si="13"/>
        <v>1.1999999999999999E-3</v>
      </c>
      <c r="Q53">
        <f t="shared" si="13"/>
        <v>4.4000000000000003E-3</v>
      </c>
      <c r="R53">
        <f t="shared" si="13"/>
        <v>6.1000000000000004E-3</v>
      </c>
      <c r="S53">
        <f t="shared" si="13"/>
        <v>7.6E-3</v>
      </c>
      <c r="T53">
        <f t="shared" si="13"/>
        <v>9.4000000000000004E-3</v>
      </c>
      <c r="U53">
        <f t="shared" si="13"/>
        <v>1.09E-2</v>
      </c>
      <c r="V53">
        <f t="shared" si="13"/>
        <v>1.1599999999999999E-2</v>
      </c>
      <c r="W53">
        <f t="shared" si="13"/>
        <v>1.2999999999999999E-2</v>
      </c>
      <c r="X53">
        <f t="shared" si="13"/>
        <v>1.4200000000000001E-2</v>
      </c>
      <c r="Y53">
        <f t="shared" si="13"/>
        <v>1.6E-2</v>
      </c>
      <c r="Z53">
        <f t="shared" si="13"/>
        <v>1.7000000000000001E-2</v>
      </c>
      <c r="AA53">
        <f t="shared" si="13"/>
        <v>1.7100000000000001E-2</v>
      </c>
      <c r="AB53">
        <f t="shared" si="13"/>
        <v>1.95E-2</v>
      </c>
      <c r="AC53">
        <f t="shared" si="13"/>
        <v>2.1600000000000001E-2</v>
      </c>
      <c r="AD53">
        <f t="shared" si="13"/>
        <v>0.40389999999999998</v>
      </c>
      <c r="AE53">
        <f t="shared" si="13"/>
        <v>1.35E-2</v>
      </c>
      <c r="AF53">
        <f t="shared" si="13"/>
        <v>1.3899999999999999E-2</v>
      </c>
      <c r="AG53">
        <f t="shared" si="13"/>
        <v>1.5299999999999999E-2</v>
      </c>
      <c r="AH53">
        <f t="shared" si="13"/>
        <v>1.5599999999999999E-2</v>
      </c>
      <c r="AI53">
        <f t="shared" si="13"/>
        <v>1.52E-2</v>
      </c>
      <c r="AJ53">
        <f t="shared" si="13"/>
        <v>1.6500000000000001E-2</v>
      </c>
      <c r="AK53">
        <f t="shared" si="13"/>
        <v>1.7100000000000001E-2</v>
      </c>
      <c r="AL53">
        <f t="shared" si="13"/>
        <v>1.66E-2</v>
      </c>
      <c r="AM53">
        <f t="shared" si="13"/>
        <v>1.78E-2</v>
      </c>
      <c r="AN53">
        <f t="shared" si="13"/>
        <v>1.67E-2</v>
      </c>
      <c r="AO53">
        <f t="shared" si="13"/>
        <v>1.6E-2</v>
      </c>
      <c r="AP53">
        <f t="shared" si="13"/>
        <v>1.6E-2</v>
      </c>
      <c r="AQ53">
        <f t="shared" si="13"/>
        <v>1.72E-2</v>
      </c>
      <c r="AR53">
        <f t="shared" si="13"/>
        <v>1.77E-2</v>
      </c>
      <c r="AS53">
        <f t="shared" si="13"/>
        <v>1.95E-2</v>
      </c>
      <c r="AT53">
        <f t="shared" si="13"/>
        <v>3.73E-2</v>
      </c>
      <c r="AU53">
        <f t="shared" si="13"/>
        <v>3.6200000000000003E-2</v>
      </c>
      <c r="AV53">
        <f t="shared" si="13"/>
        <v>3.7900000000000003E-2</v>
      </c>
      <c r="AW53">
        <f t="shared" si="13"/>
        <v>3.7999999999999999E-2</v>
      </c>
      <c r="AX53">
        <f t="shared" si="13"/>
        <v>3.9899999999999998E-2</v>
      </c>
      <c r="AY53">
        <f t="shared" si="13"/>
        <v>4.7E-2</v>
      </c>
      <c r="AZ53">
        <f t="shared" si="13"/>
        <v>6.3200000000000006E-2</v>
      </c>
      <c r="BA53">
        <f t="shared" si="13"/>
        <v>9.1899999999999996E-2</v>
      </c>
    </row>
    <row r="54" spans="1:53" x14ac:dyDescent="0.3">
      <c r="A54" t="s">
        <v>15</v>
      </c>
      <c r="B54">
        <f t="shared" ref="B54:BA54" si="14">+ABS(B16)</f>
        <v>0.14230000000000001</v>
      </c>
      <c r="C54">
        <f t="shared" si="14"/>
        <v>0.14230000000000001</v>
      </c>
      <c r="D54">
        <f t="shared" si="14"/>
        <v>0.1434</v>
      </c>
      <c r="E54">
        <f t="shared" si="14"/>
        <v>0.14419999999999999</v>
      </c>
      <c r="F54">
        <f t="shared" si="14"/>
        <v>0.1447</v>
      </c>
      <c r="G54">
        <f t="shared" si="14"/>
        <v>0.14530000000000001</v>
      </c>
      <c r="H54">
        <f t="shared" si="14"/>
        <v>0.14760000000000001</v>
      </c>
      <c r="I54">
        <f t="shared" si="14"/>
        <v>0.14799999999999999</v>
      </c>
      <c r="J54">
        <f t="shared" si="14"/>
        <v>0.15060000000000001</v>
      </c>
      <c r="K54">
        <f t="shared" si="14"/>
        <v>0.15279999999999999</v>
      </c>
      <c r="L54">
        <f t="shared" si="14"/>
        <v>0.1661</v>
      </c>
      <c r="M54">
        <f t="shared" si="14"/>
        <v>0.17019999999999999</v>
      </c>
      <c r="N54">
        <f t="shared" si="14"/>
        <v>0.17580000000000001</v>
      </c>
      <c r="O54">
        <f t="shared" si="14"/>
        <v>0.1812</v>
      </c>
      <c r="P54">
        <f t="shared" si="14"/>
        <v>0.18709999999999999</v>
      </c>
      <c r="Q54">
        <f t="shared" si="14"/>
        <v>0.1913</v>
      </c>
      <c r="R54">
        <f t="shared" si="14"/>
        <v>0.1956</v>
      </c>
      <c r="S54">
        <f t="shared" si="14"/>
        <v>0.19889999999999999</v>
      </c>
      <c r="T54">
        <f t="shared" si="14"/>
        <v>0.20200000000000001</v>
      </c>
      <c r="U54">
        <f t="shared" si="14"/>
        <v>0.2054</v>
      </c>
      <c r="V54">
        <f t="shared" si="14"/>
        <v>0.20830000000000001</v>
      </c>
      <c r="W54">
        <f t="shared" si="14"/>
        <v>0.21099999999999999</v>
      </c>
      <c r="X54">
        <f t="shared" si="14"/>
        <v>0.2137</v>
      </c>
      <c r="Y54">
        <f t="shared" si="14"/>
        <v>0.2172</v>
      </c>
      <c r="Z54">
        <f t="shared" si="14"/>
        <v>0.21959999999999999</v>
      </c>
      <c r="AA54">
        <f t="shared" si="14"/>
        <v>0.2213</v>
      </c>
      <c r="AB54">
        <f t="shared" si="14"/>
        <v>0.2235</v>
      </c>
      <c r="AC54">
        <f t="shared" si="14"/>
        <v>0.22500000000000001</v>
      </c>
      <c r="AD54">
        <f t="shared" si="14"/>
        <v>0.75319999999999998</v>
      </c>
      <c r="AE54">
        <f t="shared" si="14"/>
        <v>6.1899999999999997E-2</v>
      </c>
      <c r="AF54">
        <f t="shared" si="14"/>
        <v>6.2700000000000006E-2</v>
      </c>
      <c r="AG54">
        <f t="shared" si="14"/>
        <v>6.3299999999999995E-2</v>
      </c>
      <c r="AH54">
        <f t="shared" si="14"/>
        <v>6.3799999999999996E-2</v>
      </c>
      <c r="AI54">
        <f t="shared" si="14"/>
        <v>6.4600000000000005E-2</v>
      </c>
      <c r="AJ54">
        <f t="shared" si="14"/>
        <v>6.4000000000000001E-2</v>
      </c>
      <c r="AK54">
        <f t="shared" si="14"/>
        <v>6.4199999999999993E-2</v>
      </c>
      <c r="AL54">
        <f t="shared" si="14"/>
        <v>6.3299999999999995E-2</v>
      </c>
      <c r="AM54">
        <f t="shared" si="14"/>
        <v>6.3399999999999998E-2</v>
      </c>
      <c r="AN54">
        <f t="shared" si="14"/>
        <v>6.4699999999999994E-2</v>
      </c>
      <c r="AO54">
        <f t="shared" si="14"/>
        <v>6.3100000000000003E-2</v>
      </c>
      <c r="AP54">
        <f t="shared" si="14"/>
        <v>6.3399999999999998E-2</v>
      </c>
      <c r="AQ54">
        <f t="shared" si="14"/>
        <v>6.2799999999999995E-2</v>
      </c>
      <c r="AR54">
        <f t="shared" si="14"/>
        <v>5.8000000000000003E-2</v>
      </c>
      <c r="AS54">
        <f t="shared" si="14"/>
        <v>5.11E-2</v>
      </c>
      <c r="AT54">
        <f t="shared" si="14"/>
        <v>3.9800000000000002E-2</v>
      </c>
      <c r="AU54">
        <f t="shared" si="14"/>
        <v>3.8300000000000001E-2</v>
      </c>
      <c r="AV54">
        <f t="shared" si="14"/>
        <v>3.85E-2</v>
      </c>
      <c r="AW54">
        <f t="shared" si="14"/>
        <v>3.3000000000000002E-2</v>
      </c>
      <c r="AX54">
        <f t="shared" si="14"/>
        <v>3.1E-2</v>
      </c>
      <c r="AY54">
        <f t="shared" si="14"/>
        <v>1.9800000000000002E-2</v>
      </c>
      <c r="AZ54">
        <f t="shared" si="14"/>
        <v>4.1999999999999997E-3</v>
      </c>
      <c r="BA54">
        <f t="shared" si="14"/>
        <v>1.9099999999999999E-2</v>
      </c>
    </row>
    <row r="55" spans="1:53" x14ac:dyDescent="0.3">
      <c r="A55" t="s">
        <v>16</v>
      </c>
      <c r="B55">
        <f t="shared" ref="B55:BA55" si="15">+ABS(B17)</f>
        <v>4.4699999999999997E-2</v>
      </c>
      <c r="C55">
        <f t="shared" si="15"/>
        <v>4.4699999999999997E-2</v>
      </c>
      <c r="D55">
        <f t="shared" si="15"/>
        <v>4.3799999999999999E-2</v>
      </c>
      <c r="E55">
        <f t="shared" si="15"/>
        <v>4.3900000000000002E-2</v>
      </c>
      <c r="F55">
        <f t="shared" si="15"/>
        <v>7.0900000000000005E-2</v>
      </c>
      <c r="G55">
        <f t="shared" si="15"/>
        <v>7.0099999999999996E-2</v>
      </c>
      <c r="H55">
        <f t="shared" si="15"/>
        <v>6.9599999999999995E-2</v>
      </c>
      <c r="I55">
        <f t="shared" si="15"/>
        <v>6.7199999999999996E-2</v>
      </c>
      <c r="J55">
        <f t="shared" si="15"/>
        <v>6.6000000000000003E-2</v>
      </c>
      <c r="K55">
        <f t="shared" si="15"/>
        <v>6.4799999999999996E-2</v>
      </c>
      <c r="L55">
        <f t="shared" si="15"/>
        <v>9.3399999999999997E-2</v>
      </c>
      <c r="M55">
        <f t="shared" si="15"/>
        <v>9.1499999999999998E-2</v>
      </c>
      <c r="N55">
        <f t="shared" si="15"/>
        <v>9.0399999999999994E-2</v>
      </c>
      <c r="O55">
        <f t="shared" si="15"/>
        <v>8.9099999999999999E-2</v>
      </c>
      <c r="P55">
        <f t="shared" si="15"/>
        <v>8.7300000000000003E-2</v>
      </c>
      <c r="Q55">
        <f t="shared" si="15"/>
        <v>8.6099999999999996E-2</v>
      </c>
      <c r="R55">
        <f t="shared" si="15"/>
        <v>8.5400000000000004E-2</v>
      </c>
      <c r="S55">
        <f t="shared" si="15"/>
        <v>8.48E-2</v>
      </c>
      <c r="T55">
        <f t="shared" si="15"/>
        <v>8.4699999999999998E-2</v>
      </c>
      <c r="U55">
        <f t="shared" si="15"/>
        <v>8.3099999999999993E-2</v>
      </c>
      <c r="V55">
        <f t="shared" si="15"/>
        <v>8.3199999999999996E-2</v>
      </c>
      <c r="W55">
        <f t="shared" si="15"/>
        <v>8.3199999999999996E-2</v>
      </c>
      <c r="X55">
        <f t="shared" si="15"/>
        <v>8.2600000000000007E-2</v>
      </c>
      <c r="Y55">
        <f t="shared" si="15"/>
        <v>8.1900000000000001E-2</v>
      </c>
      <c r="Z55">
        <f t="shared" si="15"/>
        <v>8.0600000000000005E-2</v>
      </c>
      <c r="AA55">
        <f t="shared" si="15"/>
        <v>8.0600000000000005E-2</v>
      </c>
      <c r="AB55">
        <f t="shared" si="15"/>
        <v>8.1600000000000006E-2</v>
      </c>
      <c r="AC55">
        <f t="shared" si="15"/>
        <v>8.1799999999999998E-2</v>
      </c>
      <c r="AD55">
        <f t="shared" si="15"/>
        <v>1.9800000000000002E-2</v>
      </c>
      <c r="AE55">
        <f t="shared" si="15"/>
        <v>1.09E-2</v>
      </c>
      <c r="AF55">
        <f t="shared" si="15"/>
        <v>9.7000000000000003E-3</v>
      </c>
      <c r="AG55">
        <f t="shared" si="15"/>
        <v>7.7000000000000002E-3</v>
      </c>
      <c r="AH55">
        <f t="shared" si="15"/>
        <v>5.1999999999999998E-3</v>
      </c>
      <c r="AI55">
        <f t="shared" si="15"/>
        <v>3.7000000000000002E-3</v>
      </c>
      <c r="AJ55">
        <f t="shared" si="15"/>
        <v>8.0000000000000004E-4</v>
      </c>
      <c r="AK55">
        <f t="shared" si="15"/>
        <v>1.6999999999999999E-3</v>
      </c>
      <c r="AL55">
        <f t="shared" si="15"/>
        <v>4.7999999999999996E-3</v>
      </c>
      <c r="AM55">
        <f t="shared" si="15"/>
        <v>7.1000000000000004E-3</v>
      </c>
      <c r="AN55">
        <f t="shared" si="15"/>
        <v>1.21E-2</v>
      </c>
      <c r="AO55">
        <f t="shared" si="15"/>
        <v>1.7500000000000002E-2</v>
      </c>
      <c r="AP55">
        <f t="shared" si="15"/>
        <v>2.1499999999999998E-2</v>
      </c>
      <c r="AQ55">
        <f t="shared" si="15"/>
        <v>2.6700000000000002E-2</v>
      </c>
      <c r="AR55">
        <f t="shared" si="15"/>
        <v>3.1099999999999999E-2</v>
      </c>
      <c r="AS55">
        <f t="shared" si="15"/>
        <v>3.5499999999999997E-2</v>
      </c>
      <c r="AT55">
        <f t="shared" si="15"/>
        <v>1.67E-2</v>
      </c>
      <c r="AU55">
        <f t="shared" si="15"/>
        <v>2.06E-2</v>
      </c>
      <c r="AV55">
        <f t="shared" si="15"/>
        <v>2.4500000000000001E-2</v>
      </c>
      <c r="AW55">
        <f t="shared" si="15"/>
        <v>3.2000000000000001E-2</v>
      </c>
      <c r="AX55">
        <f t="shared" si="15"/>
        <v>4.2099999999999999E-2</v>
      </c>
      <c r="AY55">
        <f t="shared" si="15"/>
        <v>5.5399999999999998E-2</v>
      </c>
      <c r="AZ55">
        <f t="shared" si="15"/>
        <v>6.8099999999999994E-2</v>
      </c>
      <c r="BA55">
        <f t="shared" si="15"/>
        <v>7.3700000000000002E-2</v>
      </c>
    </row>
    <row r="56" spans="1:53" x14ac:dyDescent="0.3">
      <c r="A56" t="s">
        <v>17</v>
      </c>
      <c r="B56">
        <f t="shared" ref="B56:BA56" si="16">+ABS(B18)</f>
        <v>2.3E-3</v>
      </c>
      <c r="C56">
        <f t="shared" si="16"/>
        <v>2.3E-3</v>
      </c>
      <c r="D56">
        <f t="shared" si="16"/>
        <v>2.3999999999999998E-3</v>
      </c>
      <c r="E56">
        <f t="shared" si="16"/>
        <v>2.2000000000000001E-3</v>
      </c>
      <c r="F56">
        <f t="shared" si="16"/>
        <v>8.8000000000000005E-3</v>
      </c>
      <c r="G56">
        <f t="shared" si="16"/>
        <v>8.0999999999999996E-3</v>
      </c>
      <c r="H56">
        <f t="shared" si="16"/>
        <v>7.6E-3</v>
      </c>
      <c r="I56">
        <f t="shared" si="16"/>
        <v>7.1000000000000004E-3</v>
      </c>
      <c r="J56">
        <f t="shared" si="16"/>
        <v>7.1000000000000004E-3</v>
      </c>
      <c r="K56">
        <f t="shared" si="16"/>
        <v>6.7000000000000002E-3</v>
      </c>
      <c r="L56">
        <f t="shared" si="16"/>
        <v>1.7100000000000001E-2</v>
      </c>
      <c r="M56">
        <f t="shared" si="16"/>
        <v>1.8100000000000002E-2</v>
      </c>
      <c r="N56">
        <f t="shared" si="16"/>
        <v>1.8499999999999999E-2</v>
      </c>
      <c r="O56">
        <f t="shared" si="16"/>
        <v>2.0199999999999999E-2</v>
      </c>
      <c r="P56">
        <f t="shared" si="16"/>
        <v>2.24E-2</v>
      </c>
      <c r="Q56">
        <f t="shared" si="16"/>
        <v>2.3800000000000002E-2</v>
      </c>
      <c r="R56">
        <f t="shared" si="16"/>
        <v>2.5399999999999999E-2</v>
      </c>
      <c r="S56">
        <f t="shared" si="16"/>
        <v>2.6700000000000002E-2</v>
      </c>
      <c r="T56">
        <f t="shared" si="16"/>
        <v>2.69E-2</v>
      </c>
      <c r="U56">
        <f t="shared" si="16"/>
        <v>2.7400000000000001E-2</v>
      </c>
      <c r="V56">
        <f t="shared" si="16"/>
        <v>2.81E-2</v>
      </c>
      <c r="W56">
        <f t="shared" si="16"/>
        <v>2.9000000000000001E-2</v>
      </c>
      <c r="X56">
        <f t="shared" si="16"/>
        <v>2.92E-2</v>
      </c>
      <c r="Y56">
        <f t="shared" si="16"/>
        <v>3.0099999999999998E-2</v>
      </c>
      <c r="Z56">
        <f t="shared" si="16"/>
        <v>3.04E-2</v>
      </c>
      <c r="AA56">
        <f t="shared" si="16"/>
        <v>2.98E-2</v>
      </c>
      <c r="AB56">
        <f t="shared" si="16"/>
        <v>2.98E-2</v>
      </c>
      <c r="AC56">
        <f t="shared" si="16"/>
        <v>3.0300000000000001E-2</v>
      </c>
      <c r="AD56">
        <f t="shared" si="16"/>
        <v>2.0999999999999999E-3</v>
      </c>
      <c r="AE56">
        <f t="shared" si="16"/>
        <v>5.0000000000000001E-4</v>
      </c>
      <c r="AF56">
        <f t="shared" si="16"/>
        <v>8.0000000000000004E-4</v>
      </c>
      <c r="AG56">
        <f t="shared" si="16"/>
        <v>1E-4</v>
      </c>
      <c r="AH56">
        <f t="shared" si="16"/>
        <v>8.0000000000000004E-4</v>
      </c>
      <c r="AI56">
        <f t="shared" si="16"/>
        <v>4.0000000000000002E-4</v>
      </c>
      <c r="AJ56">
        <f t="shared" si="16"/>
        <v>2.8E-3</v>
      </c>
      <c r="AK56">
        <f t="shared" si="16"/>
        <v>3.3E-3</v>
      </c>
      <c r="AL56">
        <f t="shared" si="16"/>
        <v>4.5999999999999999E-3</v>
      </c>
      <c r="AM56">
        <f t="shared" si="16"/>
        <v>6.0000000000000001E-3</v>
      </c>
      <c r="AN56">
        <f t="shared" si="16"/>
        <v>6.6E-3</v>
      </c>
      <c r="AO56">
        <f t="shared" si="16"/>
        <v>7.3000000000000001E-3</v>
      </c>
      <c r="AP56">
        <f t="shared" si="16"/>
        <v>1.01E-2</v>
      </c>
      <c r="AQ56">
        <f t="shared" si="16"/>
        <v>1.6199999999999999E-2</v>
      </c>
      <c r="AR56">
        <f t="shared" si="16"/>
        <v>2.35E-2</v>
      </c>
      <c r="AS56">
        <f t="shared" si="16"/>
        <v>3.2399999999999998E-2</v>
      </c>
      <c r="AT56">
        <f t="shared" si="16"/>
        <v>9.7000000000000003E-3</v>
      </c>
      <c r="AU56">
        <f t="shared" si="16"/>
        <v>6.4999999999999997E-3</v>
      </c>
      <c r="AV56">
        <f t="shared" si="16"/>
        <v>2.7000000000000001E-3</v>
      </c>
      <c r="AW56">
        <f t="shared" si="16"/>
        <v>2.5000000000000001E-3</v>
      </c>
      <c r="AX56">
        <f t="shared" si="16"/>
        <v>8.9999999999999998E-4</v>
      </c>
      <c r="AY56">
        <f t="shared" si="16"/>
        <v>2.3E-3</v>
      </c>
      <c r="AZ56">
        <f t="shared" si="16"/>
        <v>3.8E-3</v>
      </c>
      <c r="BA56">
        <f t="shared" si="16"/>
        <v>4.3E-3</v>
      </c>
    </row>
    <row r="57" spans="1:53" x14ac:dyDescent="0.3">
      <c r="A57" t="s">
        <v>18</v>
      </c>
      <c r="B57">
        <f t="shared" ref="B57:BA57" si="17">+ABS(B19)</f>
        <v>3.9199999999999999E-2</v>
      </c>
      <c r="C57">
        <f t="shared" si="17"/>
        <v>3.9199999999999999E-2</v>
      </c>
      <c r="D57">
        <f t="shared" si="17"/>
        <v>3.9100000000000003E-2</v>
      </c>
      <c r="E57">
        <f t="shared" si="17"/>
        <v>3.9100000000000003E-2</v>
      </c>
      <c r="F57">
        <f t="shared" si="17"/>
        <v>6.0400000000000002E-2</v>
      </c>
      <c r="G57">
        <f t="shared" si="17"/>
        <v>5.8599999999999999E-2</v>
      </c>
      <c r="H57">
        <f t="shared" si="17"/>
        <v>5.6599999999999998E-2</v>
      </c>
      <c r="I57">
        <f t="shared" si="17"/>
        <v>5.5300000000000002E-2</v>
      </c>
      <c r="J57">
        <f t="shared" si="17"/>
        <v>5.4199999999999998E-2</v>
      </c>
      <c r="K57">
        <f t="shared" si="17"/>
        <v>5.2200000000000003E-2</v>
      </c>
      <c r="L57">
        <f t="shared" si="17"/>
        <v>6.3700000000000007E-2</v>
      </c>
      <c r="M57">
        <f t="shared" si="17"/>
        <v>6.1600000000000002E-2</v>
      </c>
      <c r="N57">
        <f t="shared" si="17"/>
        <v>5.8500000000000003E-2</v>
      </c>
      <c r="O57">
        <f t="shared" si="17"/>
        <v>5.57E-2</v>
      </c>
      <c r="P57">
        <f t="shared" si="17"/>
        <v>5.2200000000000003E-2</v>
      </c>
      <c r="Q57">
        <f t="shared" si="17"/>
        <v>4.99E-2</v>
      </c>
      <c r="R57">
        <f t="shared" si="17"/>
        <v>4.6800000000000001E-2</v>
      </c>
      <c r="S57">
        <f t="shared" si="17"/>
        <v>4.48E-2</v>
      </c>
      <c r="T57">
        <f t="shared" si="17"/>
        <v>4.36E-2</v>
      </c>
      <c r="U57">
        <f t="shared" si="17"/>
        <v>4.3299999999999998E-2</v>
      </c>
      <c r="V57">
        <f t="shared" si="17"/>
        <v>4.2599999999999999E-2</v>
      </c>
      <c r="W57">
        <f t="shared" si="17"/>
        <v>4.24E-2</v>
      </c>
      <c r="X57">
        <f t="shared" si="17"/>
        <v>4.2000000000000003E-2</v>
      </c>
      <c r="Y57">
        <f t="shared" si="17"/>
        <v>4.2799999999999998E-2</v>
      </c>
      <c r="Z57">
        <f t="shared" si="17"/>
        <v>4.2999999999999997E-2</v>
      </c>
      <c r="AA57">
        <f t="shared" si="17"/>
        <v>4.3099999999999999E-2</v>
      </c>
      <c r="AB57">
        <f t="shared" si="17"/>
        <v>4.3499999999999997E-2</v>
      </c>
      <c r="AC57">
        <f t="shared" si="17"/>
        <v>4.3099999999999999E-2</v>
      </c>
      <c r="AD57">
        <f t="shared" si="17"/>
        <v>4.4999999999999997E-3</v>
      </c>
      <c r="AE57">
        <f t="shared" si="17"/>
        <v>5.2699999999999997E-2</v>
      </c>
      <c r="AF57">
        <f t="shared" si="17"/>
        <v>5.2900000000000003E-2</v>
      </c>
      <c r="AG57">
        <f t="shared" si="17"/>
        <v>5.2900000000000003E-2</v>
      </c>
      <c r="AH57">
        <f t="shared" si="17"/>
        <v>5.4300000000000001E-2</v>
      </c>
      <c r="AI57">
        <f t="shared" si="17"/>
        <v>5.5300000000000002E-2</v>
      </c>
      <c r="AJ57">
        <f t="shared" si="17"/>
        <v>5.4800000000000001E-2</v>
      </c>
      <c r="AK57">
        <f t="shared" si="17"/>
        <v>5.4699999999999999E-2</v>
      </c>
      <c r="AL57">
        <f t="shared" si="17"/>
        <v>5.4300000000000001E-2</v>
      </c>
      <c r="AM57">
        <f t="shared" si="17"/>
        <v>5.4800000000000001E-2</v>
      </c>
      <c r="AN57">
        <f t="shared" si="17"/>
        <v>5.5899999999999998E-2</v>
      </c>
      <c r="AO57">
        <f t="shared" si="17"/>
        <v>5.6599999999999998E-2</v>
      </c>
      <c r="AP57">
        <f t="shared" si="17"/>
        <v>5.6800000000000003E-2</v>
      </c>
      <c r="AQ57">
        <f t="shared" si="17"/>
        <v>5.7599999999999998E-2</v>
      </c>
      <c r="AR57">
        <f t="shared" si="17"/>
        <v>5.8299999999999998E-2</v>
      </c>
      <c r="AS57">
        <f t="shared" si="17"/>
        <v>6.4299999999999996E-2</v>
      </c>
      <c r="AT57">
        <f t="shared" si="17"/>
        <v>6.0999999999999999E-2</v>
      </c>
      <c r="AU57">
        <f t="shared" si="17"/>
        <v>6.2100000000000002E-2</v>
      </c>
      <c r="AV57">
        <f t="shared" si="17"/>
        <v>6.3E-2</v>
      </c>
      <c r="AW57">
        <f t="shared" si="17"/>
        <v>6.3299999999999995E-2</v>
      </c>
      <c r="AX57">
        <f t="shared" si="17"/>
        <v>5.74E-2</v>
      </c>
      <c r="AY57">
        <f t="shared" si="17"/>
        <v>4.7E-2</v>
      </c>
      <c r="AZ57">
        <f t="shared" si="17"/>
        <v>3.8300000000000001E-2</v>
      </c>
      <c r="BA57">
        <f t="shared" si="17"/>
        <v>2.9399999999999999E-2</v>
      </c>
    </row>
    <row r="58" spans="1:53" x14ac:dyDescent="0.3">
      <c r="A58" t="s">
        <v>19</v>
      </c>
      <c r="B58">
        <f t="shared" ref="B58:BA58" si="18">+ABS(B20)</f>
        <v>5.6500000000000002E-2</v>
      </c>
      <c r="C58">
        <f t="shared" si="18"/>
        <v>5.6500000000000002E-2</v>
      </c>
      <c r="D58">
        <f t="shared" si="18"/>
        <v>5.6099999999999997E-2</v>
      </c>
      <c r="E58">
        <f t="shared" si="18"/>
        <v>5.4600000000000003E-2</v>
      </c>
      <c r="F58">
        <f t="shared" si="18"/>
        <v>3.7900000000000003E-2</v>
      </c>
      <c r="G58">
        <f t="shared" si="18"/>
        <v>3.5700000000000003E-2</v>
      </c>
      <c r="H58">
        <f t="shared" si="18"/>
        <v>3.3799999999999997E-2</v>
      </c>
      <c r="I58">
        <f t="shared" si="18"/>
        <v>3.1699999999999999E-2</v>
      </c>
      <c r="J58">
        <f t="shared" si="18"/>
        <v>3.0300000000000001E-2</v>
      </c>
      <c r="K58">
        <f t="shared" si="18"/>
        <v>2.8400000000000002E-2</v>
      </c>
      <c r="L58">
        <f t="shared" si="18"/>
        <v>4.6800000000000001E-2</v>
      </c>
      <c r="M58">
        <f t="shared" si="18"/>
        <v>4.5100000000000001E-2</v>
      </c>
      <c r="N58">
        <f t="shared" si="18"/>
        <v>4.41E-2</v>
      </c>
      <c r="O58">
        <f t="shared" si="18"/>
        <v>4.2500000000000003E-2</v>
      </c>
      <c r="P58">
        <f t="shared" si="18"/>
        <v>4.1399999999999999E-2</v>
      </c>
      <c r="Q58">
        <f t="shared" si="18"/>
        <v>4.0399999999999998E-2</v>
      </c>
      <c r="R58">
        <f t="shared" si="18"/>
        <v>3.8800000000000001E-2</v>
      </c>
      <c r="S58">
        <f t="shared" si="18"/>
        <v>3.6400000000000002E-2</v>
      </c>
      <c r="T58">
        <f t="shared" si="18"/>
        <v>3.3799999999999997E-2</v>
      </c>
      <c r="U58">
        <f t="shared" si="18"/>
        <v>3.2000000000000001E-2</v>
      </c>
      <c r="V58">
        <f t="shared" si="18"/>
        <v>3.04E-2</v>
      </c>
      <c r="W58">
        <f t="shared" si="18"/>
        <v>2.9399999999999999E-2</v>
      </c>
      <c r="X58">
        <f t="shared" si="18"/>
        <v>2.8000000000000001E-2</v>
      </c>
      <c r="Y58">
        <f t="shared" si="18"/>
        <v>2.69E-2</v>
      </c>
      <c r="Z58">
        <f t="shared" si="18"/>
        <v>2.5499999999999998E-2</v>
      </c>
      <c r="AA58">
        <f t="shared" si="18"/>
        <v>2.41E-2</v>
      </c>
      <c r="AB58">
        <f t="shared" si="18"/>
        <v>2.3E-2</v>
      </c>
      <c r="AC58">
        <f t="shared" si="18"/>
        <v>2.1600000000000001E-2</v>
      </c>
      <c r="AD58">
        <f t="shared" si="18"/>
        <v>1.15E-2</v>
      </c>
      <c r="AE58">
        <f t="shared" si="18"/>
        <v>3.7499999999999999E-2</v>
      </c>
      <c r="AF58">
        <f t="shared" si="18"/>
        <v>3.6999999999999998E-2</v>
      </c>
      <c r="AG58">
        <f t="shared" si="18"/>
        <v>3.8199999999999998E-2</v>
      </c>
      <c r="AH58">
        <f t="shared" si="18"/>
        <v>4.0099999999999997E-2</v>
      </c>
      <c r="AI58">
        <f t="shared" si="18"/>
        <v>4.1700000000000001E-2</v>
      </c>
      <c r="AJ58">
        <f t="shared" si="18"/>
        <v>4.1200000000000001E-2</v>
      </c>
      <c r="AK58">
        <f t="shared" si="18"/>
        <v>4.2200000000000001E-2</v>
      </c>
      <c r="AL58">
        <f t="shared" si="18"/>
        <v>4.4600000000000001E-2</v>
      </c>
      <c r="AM58">
        <f t="shared" si="18"/>
        <v>4.6600000000000003E-2</v>
      </c>
      <c r="AN58">
        <f t="shared" si="18"/>
        <v>4.9500000000000002E-2</v>
      </c>
      <c r="AO58">
        <f t="shared" si="18"/>
        <v>5.1799999999999999E-2</v>
      </c>
      <c r="AP58">
        <f t="shared" si="18"/>
        <v>5.2999999999999999E-2</v>
      </c>
      <c r="AQ58">
        <f t="shared" si="18"/>
        <v>5.5199999999999999E-2</v>
      </c>
      <c r="AR58">
        <f t="shared" si="18"/>
        <v>5.4600000000000003E-2</v>
      </c>
      <c r="AS58">
        <f t="shared" si="18"/>
        <v>5.6099999999999997E-2</v>
      </c>
      <c r="AT58">
        <f t="shared" si="18"/>
        <v>1.17E-2</v>
      </c>
      <c r="AU58">
        <f t="shared" si="18"/>
        <v>1.2200000000000001E-2</v>
      </c>
      <c r="AV58">
        <f t="shared" si="18"/>
        <v>8.8000000000000005E-3</v>
      </c>
      <c r="AW58">
        <f t="shared" si="18"/>
        <v>7.1000000000000004E-3</v>
      </c>
      <c r="AX58">
        <f t="shared" si="18"/>
        <v>4.4000000000000003E-3</v>
      </c>
      <c r="AY58">
        <f t="shared" si="18"/>
        <v>1.1999999999999999E-3</v>
      </c>
      <c r="AZ58">
        <f t="shared" si="18"/>
        <v>1.6000000000000001E-3</v>
      </c>
      <c r="BA58">
        <f t="shared" si="18"/>
        <v>4.1000000000000003E-3</v>
      </c>
    </row>
    <row r="59" spans="1:53" x14ac:dyDescent="0.3">
      <c r="A59" t="s">
        <v>20</v>
      </c>
      <c r="B59">
        <f t="shared" ref="B59:BA59" si="19">+ABS(B21)</f>
        <v>0.1613</v>
      </c>
      <c r="C59">
        <f t="shared" si="19"/>
        <v>0.1613</v>
      </c>
      <c r="D59">
        <f t="shared" si="19"/>
        <v>0.1641</v>
      </c>
      <c r="E59">
        <f t="shared" si="19"/>
        <v>0.16819999999999999</v>
      </c>
      <c r="F59">
        <f t="shared" si="19"/>
        <v>0.32750000000000001</v>
      </c>
      <c r="G59">
        <f t="shared" si="19"/>
        <v>0.33090000000000003</v>
      </c>
      <c r="H59">
        <f t="shared" si="19"/>
        <v>0.33479999999999999</v>
      </c>
      <c r="I59">
        <f t="shared" si="19"/>
        <v>0.3392</v>
      </c>
      <c r="J59">
        <f t="shared" si="19"/>
        <v>0.34399999999999997</v>
      </c>
      <c r="K59">
        <f t="shared" si="19"/>
        <v>0.35020000000000001</v>
      </c>
      <c r="L59">
        <f t="shared" si="19"/>
        <v>0.31630000000000003</v>
      </c>
      <c r="M59">
        <f t="shared" si="19"/>
        <v>0.32479999999999998</v>
      </c>
      <c r="N59">
        <f t="shared" si="19"/>
        <v>0.33589999999999998</v>
      </c>
      <c r="O59">
        <f t="shared" si="19"/>
        <v>0.34620000000000001</v>
      </c>
      <c r="P59">
        <f t="shared" si="19"/>
        <v>0.35510000000000003</v>
      </c>
      <c r="Q59">
        <f t="shared" si="19"/>
        <v>0.36230000000000001</v>
      </c>
      <c r="R59">
        <f t="shared" si="19"/>
        <v>0.36770000000000003</v>
      </c>
      <c r="S59">
        <f t="shared" si="19"/>
        <v>0.37240000000000001</v>
      </c>
      <c r="T59">
        <f t="shared" si="19"/>
        <v>0.37380000000000002</v>
      </c>
      <c r="U59">
        <f t="shared" si="19"/>
        <v>0.37580000000000002</v>
      </c>
      <c r="V59">
        <f t="shared" si="19"/>
        <v>0.37630000000000002</v>
      </c>
      <c r="W59">
        <f t="shared" si="19"/>
        <v>0.37659999999999999</v>
      </c>
      <c r="X59">
        <f t="shared" si="19"/>
        <v>0.37590000000000001</v>
      </c>
      <c r="Y59">
        <f t="shared" si="19"/>
        <v>0.37509999999999999</v>
      </c>
      <c r="Z59">
        <f t="shared" si="19"/>
        <v>0.37430000000000002</v>
      </c>
      <c r="AA59">
        <f t="shared" si="19"/>
        <v>0.37319999999999998</v>
      </c>
      <c r="AB59">
        <f t="shared" si="19"/>
        <v>0.3715</v>
      </c>
      <c r="AC59">
        <f t="shared" si="19"/>
        <v>0.36859999999999998</v>
      </c>
      <c r="AD59">
        <f t="shared" si="19"/>
        <v>0.40289999999999998</v>
      </c>
      <c r="AE59">
        <f t="shared" si="19"/>
        <v>0.37969999999999998</v>
      </c>
      <c r="AF59">
        <f t="shared" si="19"/>
        <v>0.37959999999999999</v>
      </c>
      <c r="AG59">
        <f t="shared" si="19"/>
        <v>0.37769999999999998</v>
      </c>
      <c r="AH59">
        <f t="shared" si="19"/>
        <v>0.376</v>
      </c>
      <c r="AI59">
        <f t="shared" si="19"/>
        <v>0.37430000000000002</v>
      </c>
      <c r="AJ59">
        <f t="shared" si="19"/>
        <v>0.37169999999999997</v>
      </c>
      <c r="AK59">
        <f t="shared" si="19"/>
        <v>0.36820000000000003</v>
      </c>
      <c r="AL59">
        <f t="shared" si="19"/>
        <v>0.36349999999999999</v>
      </c>
      <c r="AM59">
        <f t="shared" si="19"/>
        <v>0.35589999999999999</v>
      </c>
      <c r="AN59">
        <f t="shared" si="19"/>
        <v>0.3503</v>
      </c>
      <c r="AO59">
        <f t="shared" si="19"/>
        <v>0.33850000000000002</v>
      </c>
      <c r="AP59">
        <f t="shared" si="19"/>
        <v>0.32400000000000001</v>
      </c>
      <c r="AQ59">
        <f t="shared" si="19"/>
        <v>0.30359999999999998</v>
      </c>
      <c r="AR59">
        <f t="shared" si="19"/>
        <v>0.27679999999999999</v>
      </c>
      <c r="AS59">
        <f t="shared" si="19"/>
        <v>0.23910000000000001</v>
      </c>
      <c r="AT59">
        <f t="shared" si="19"/>
        <v>4.0000000000000002E-4</v>
      </c>
      <c r="AU59">
        <f t="shared" si="19"/>
        <v>8.5000000000000006E-3</v>
      </c>
      <c r="AV59">
        <f t="shared" si="19"/>
        <v>1.7500000000000002E-2</v>
      </c>
      <c r="AW59">
        <f t="shared" si="19"/>
        <v>2.7400000000000001E-2</v>
      </c>
      <c r="AX59">
        <f t="shared" si="19"/>
        <v>3.7199999999999997E-2</v>
      </c>
      <c r="AY59">
        <f t="shared" si="19"/>
        <v>4.3400000000000001E-2</v>
      </c>
      <c r="AZ59">
        <f t="shared" si="19"/>
        <v>4.3099999999999999E-2</v>
      </c>
      <c r="BA59">
        <f t="shared" si="19"/>
        <v>3.1300000000000001E-2</v>
      </c>
    </row>
    <row r="60" spans="1:53" x14ac:dyDescent="0.3">
      <c r="A60" t="s">
        <v>21</v>
      </c>
      <c r="B60">
        <f t="shared" ref="B60:BA60" si="20">+ABS(B22)</f>
        <v>3.9300000000000002E-2</v>
      </c>
      <c r="C60">
        <f t="shared" si="20"/>
        <v>3.9300000000000002E-2</v>
      </c>
      <c r="D60">
        <f t="shared" si="20"/>
        <v>4.0399999999999998E-2</v>
      </c>
      <c r="E60">
        <f t="shared" si="20"/>
        <v>4.1000000000000002E-2</v>
      </c>
      <c r="F60">
        <f t="shared" si="20"/>
        <v>3.1300000000000001E-2</v>
      </c>
      <c r="G60">
        <f t="shared" si="20"/>
        <v>3.0800000000000001E-2</v>
      </c>
      <c r="H60">
        <f t="shared" si="20"/>
        <v>2.9600000000000001E-2</v>
      </c>
      <c r="I60">
        <f t="shared" si="20"/>
        <v>2.7E-2</v>
      </c>
      <c r="J60">
        <f t="shared" si="20"/>
        <v>2.4799999999999999E-2</v>
      </c>
      <c r="K60">
        <f t="shared" si="20"/>
        <v>2.3E-2</v>
      </c>
      <c r="L60">
        <f t="shared" si="20"/>
        <v>1.6199999999999999E-2</v>
      </c>
      <c r="M60">
        <f t="shared" si="20"/>
        <v>1.4E-2</v>
      </c>
      <c r="N60">
        <f t="shared" si="20"/>
        <v>1.0800000000000001E-2</v>
      </c>
      <c r="O60">
        <f t="shared" si="20"/>
        <v>7.7999999999999996E-3</v>
      </c>
      <c r="P60">
        <f t="shared" si="20"/>
        <v>5.4000000000000003E-3</v>
      </c>
      <c r="Q60">
        <f t="shared" si="20"/>
        <v>3.5000000000000001E-3</v>
      </c>
      <c r="R60">
        <f t="shared" si="20"/>
        <v>2.3999999999999998E-3</v>
      </c>
      <c r="S60">
        <f t="shared" si="20"/>
        <v>1.1000000000000001E-3</v>
      </c>
      <c r="T60">
        <f t="shared" si="20"/>
        <v>8.0000000000000004E-4</v>
      </c>
      <c r="U60">
        <f t="shared" si="20"/>
        <v>4.0000000000000002E-4</v>
      </c>
      <c r="V60">
        <f t="shared" si="20"/>
        <v>2.9999999999999997E-4</v>
      </c>
      <c r="W60">
        <f t="shared" si="20"/>
        <v>2.9999999999999997E-4</v>
      </c>
      <c r="X60">
        <f t="shared" si="20"/>
        <v>6.9999999999999999E-4</v>
      </c>
      <c r="Y60">
        <f t="shared" si="20"/>
        <v>1.2999999999999999E-3</v>
      </c>
      <c r="Z60">
        <f t="shared" si="20"/>
        <v>1.2999999999999999E-3</v>
      </c>
      <c r="AA60">
        <f t="shared" si="20"/>
        <v>2.2000000000000001E-3</v>
      </c>
      <c r="AB60">
        <f t="shared" si="20"/>
        <v>3.0999999999999999E-3</v>
      </c>
      <c r="AC60">
        <f t="shared" si="20"/>
        <v>3.2000000000000002E-3</v>
      </c>
      <c r="AD60">
        <f t="shared" si="20"/>
        <v>0.1181</v>
      </c>
      <c r="AE60">
        <f t="shared" si="20"/>
        <v>0.3972</v>
      </c>
      <c r="AF60">
        <f t="shared" si="20"/>
        <v>0.41189999999999999</v>
      </c>
      <c r="AG60">
        <f t="shared" si="20"/>
        <v>0.42859999999999998</v>
      </c>
      <c r="AH60">
        <f t="shared" si="20"/>
        <v>0.44590000000000002</v>
      </c>
      <c r="AI60">
        <f t="shared" si="20"/>
        <v>0.46539999999999998</v>
      </c>
      <c r="AJ60">
        <f t="shared" si="20"/>
        <v>0.48649999999999999</v>
      </c>
      <c r="AK60">
        <f t="shared" si="20"/>
        <v>0.50829999999999997</v>
      </c>
      <c r="AL60">
        <f t="shared" si="20"/>
        <v>0.5343</v>
      </c>
      <c r="AM60">
        <f t="shared" si="20"/>
        <v>0.56320000000000003</v>
      </c>
      <c r="AN60">
        <f t="shared" si="20"/>
        <v>0.59370000000000001</v>
      </c>
      <c r="AO60">
        <f t="shared" si="20"/>
        <v>0.63139999999999996</v>
      </c>
      <c r="AP60">
        <f t="shared" si="20"/>
        <v>0.67610000000000003</v>
      </c>
      <c r="AQ60">
        <f t="shared" si="20"/>
        <v>0.72709999999999997</v>
      </c>
      <c r="AR60">
        <f t="shared" si="20"/>
        <v>0.78469999999999995</v>
      </c>
      <c r="AS60">
        <f t="shared" si="20"/>
        <v>0.84540000000000004</v>
      </c>
      <c r="AT60">
        <f t="shared" si="20"/>
        <v>8.6099999999999996E-2</v>
      </c>
      <c r="AU60">
        <f t="shared" si="20"/>
        <v>8.48E-2</v>
      </c>
      <c r="AV60">
        <f t="shared" si="20"/>
        <v>8.1900000000000001E-2</v>
      </c>
      <c r="AW60">
        <f t="shared" si="20"/>
        <v>7.6499999999999999E-2</v>
      </c>
      <c r="AX60">
        <f t="shared" si="20"/>
        <v>7.1499999999999994E-2</v>
      </c>
      <c r="AY60">
        <f t="shared" si="20"/>
        <v>5.5500000000000001E-2</v>
      </c>
      <c r="AZ60">
        <f t="shared" si="20"/>
        <v>2.5100000000000001E-2</v>
      </c>
      <c r="BA60">
        <f t="shared" si="20"/>
        <v>1.5900000000000001E-2</v>
      </c>
    </row>
    <row r="61" spans="1:53" x14ac:dyDescent="0.3">
      <c r="A61" t="s">
        <v>22</v>
      </c>
      <c r="B61">
        <f t="shared" ref="B61:BA61" si="21">+ABS(B23)</f>
        <v>7.0999999999999994E-2</v>
      </c>
      <c r="C61">
        <f t="shared" si="21"/>
        <v>7.0999999999999994E-2</v>
      </c>
      <c r="D61">
        <f t="shared" si="21"/>
        <v>7.1400000000000005E-2</v>
      </c>
      <c r="E61">
        <f t="shared" si="21"/>
        <v>7.2300000000000003E-2</v>
      </c>
      <c r="F61">
        <f t="shared" si="21"/>
        <v>8.3500000000000005E-2</v>
      </c>
      <c r="G61">
        <f t="shared" si="21"/>
        <v>8.4199999999999997E-2</v>
      </c>
      <c r="H61">
        <f t="shared" si="21"/>
        <v>8.5400000000000004E-2</v>
      </c>
      <c r="I61">
        <f t="shared" si="21"/>
        <v>8.6599999999999996E-2</v>
      </c>
      <c r="J61">
        <f t="shared" si="21"/>
        <v>8.7800000000000003E-2</v>
      </c>
      <c r="K61">
        <f t="shared" si="21"/>
        <v>8.8999999999999996E-2</v>
      </c>
      <c r="L61">
        <f t="shared" si="21"/>
        <v>9.4200000000000006E-2</v>
      </c>
      <c r="M61">
        <f t="shared" si="21"/>
        <v>9.6600000000000005E-2</v>
      </c>
      <c r="N61">
        <f t="shared" si="21"/>
        <v>9.6100000000000005E-2</v>
      </c>
      <c r="O61">
        <f t="shared" si="21"/>
        <v>9.5699999999999993E-2</v>
      </c>
      <c r="P61">
        <f t="shared" si="21"/>
        <v>9.4399999999999998E-2</v>
      </c>
      <c r="Q61">
        <f t="shared" si="21"/>
        <v>9.2899999999999996E-2</v>
      </c>
      <c r="R61">
        <f t="shared" si="21"/>
        <v>9.1300000000000006E-2</v>
      </c>
      <c r="S61">
        <f t="shared" si="21"/>
        <v>9.0700000000000003E-2</v>
      </c>
      <c r="T61">
        <f t="shared" si="21"/>
        <v>9.11E-2</v>
      </c>
      <c r="U61">
        <f t="shared" si="21"/>
        <v>9.2200000000000004E-2</v>
      </c>
      <c r="V61">
        <f t="shared" si="21"/>
        <v>9.2100000000000001E-2</v>
      </c>
      <c r="W61">
        <f t="shared" si="21"/>
        <v>9.2600000000000002E-2</v>
      </c>
      <c r="X61">
        <f t="shared" si="21"/>
        <v>9.2999999999999999E-2</v>
      </c>
      <c r="Y61">
        <f t="shared" si="21"/>
        <v>9.3200000000000005E-2</v>
      </c>
      <c r="Z61">
        <f t="shared" si="21"/>
        <v>9.3600000000000003E-2</v>
      </c>
      <c r="AA61">
        <f t="shared" si="21"/>
        <v>9.4500000000000001E-2</v>
      </c>
      <c r="AB61">
        <f t="shared" si="21"/>
        <v>9.5899999999999999E-2</v>
      </c>
      <c r="AC61">
        <f t="shared" si="21"/>
        <v>9.7199999999999995E-2</v>
      </c>
      <c r="AD61">
        <f t="shared" si="21"/>
        <v>3.5999999999999997E-2</v>
      </c>
      <c r="AE61">
        <f t="shared" si="21"/>
        <v>4.65E-2</v>
      </c>
      <c r="AF61">
        <f t="shared" si="21"/>
        <v>4.5699999999999998E-2</v>
      </c>
      <c r="AG61">
        <f t="shared" si="21"/>
        <v>4.3700000000000003E-2</v>
      </c>
      <c r="AH61">
        <f t="shared" si="21"/>
        <v>4.1599999999999998E-2</v>
      </c>
      <c r="AI61">
        <f t="shared" si="21"/>
        <v>3.9300000000000002E-2</v>
      </c>
      <c r="AJ61">
        <f t="shared" si="21"/>
        <v>3.6600000000000001E-2</v>
      </c>
      <c r="AK61">
        <f t="shared" si="21"/>
        <v>3.4799999999999998E-2</v>
      </c>
      <c r="AL61">
        <f t="shared" si="21"/>
        <v>0.03</v>
      </c>
      <c r="AM61">
        <f t="shared" si="21"/>
        <v>2.5600000000000001E-2</v>
      </c>
      <c r="AN61">
        <f t="shared" si="21"/>
        <v>2.1000000000000001E-2</v>
      </c>
      <c r="AO61">
        <f t="shared" si="21"/>
        <v>1.8100000000000002E-2</v>
      </c>
      <c r="AP61">
        <f t="shared" si="21"/>
        <v>1.06E-2</v>
      </c>
      <c r="AQ61">
        <f t="shared" si="21"/>
        <v>4.4999999999999997E-3</v>
      </c>
      <c r="AR61">
        <f t="shared" si="21"/>
        <v>2.9999999999999997E-4</v>
      </c>
      <c r="AS61">
        <f t="shared" si="21"/>
        <v>8.0999999999999996E-3</v>
      </c>
      <c r="AT61">
        <f t="shared" si="21"/>
        <v>6.2899999999999998E-2</v>
      </c>
      <c r="AU61">
        <f t="shared" si="21"/>
        <v>6.3799999999999996E-2</v>
      </c>
      <c r="AV61">
        <f t="shared" si="21"/>
        <v>6.4299999999999996E-2</v>
      </c>
      <c r="AW61">
        <f t="shared" si="21"/>
        <v>5.9200000000000003E-2</v>
      </c>
      <c r="AX61">
        <f t="shared" si="21"/>
        <v>5.3699999999999998E-2</v>
      </c>
      <c r="AY61">
        <f t="shared" si="21"/>
        <v>4.2999999999999997E-2</v>
      </c>
      <c r="AZ61">
        <f t="shared" si="21"/>
        <v>2.5100000000000001E-2</v>
      </c>
      <c r="BA61">
        <f t="shared" si="21"/>
        <v>1E-4</v>
      </c>
    </row>
    <row r="62" spans="1:53" x14ac:dyDescent="0.3">
      <c r="A62" t="s">
        <v>23</v>
      </c>
      <c r="B62">
        <f t="shared" ref="B62:BA62" si="22">+ABS(B24)</f>
        <v>9.5699999999999993E-2</v>
      </c>
      <c r="C62">
        <f t="shared" si="22"/>
        <v>9.5699999999999993E-2</v>
      </c>
      <c r="D62">
        <f t="shared" si="22"/>
        <v>9.4600000000000004E-2</v>
      </c>
      <c r="E62">
        <f t="shared" si="22"/>
        <v>9.3399999999999997E-2</v>
      </c>
      <c r="F62">
        <f t="shared" si="22"/>
        <v>9.0999999999999998E-2</v>
      </c>
      <c r="G62">
        <f t="shared" si="22"/>
        <v>9.1499999999999998E-2</v>
      </c>
      <c r="H62">
        <f t="shared" si="22"/>
        <v>9.0300000000000005E-2</v>
      </c>
      <c r="I62">
        <f t="shared" si="22"/>
        <v>9.1499999999999998E-2</v>
      </c>
      <c r="J62">
        <f t="shared" si="22"/>
        <v>9.1399999999999995E-2</v>
      </c>
      <c r="K62">
        <f t="shared" si="22"/>
        <v>9.0999999999999998E-2</v>
      </c>
      <c r="L62">
        <f t="shared" si="22"/>
        <v>9.35E-2</v>
      </c>
      <c r="M62">
        <f t="shared" si="22"/>
        <v>9.3399999999999997E-2</v>
      </c>
      <c r="N62">
        <f t="shared" si="22"/>
        <v>9.3600000000000003E-2</v>
      </c>
      <c r="O62">
        <f t="shared" si="22"/>
        <v>9.4500000000000001E-2</v>
      </c>
      <c r="P62">
        <f t="shared" si="22"/>
        <v>9.5699999999999993E-2</v>
      </c>
      <c r="Q62">
        <f t="shared" si="22"/>
        <v>9.5100000000000004E-2</v>
      </c>
      <c r="R62">
        <f t="shared" si="22"/>
        <v>9.4899999999999998E-2</v>
      </c>
      <c r="S62">
        <f t="shared" si="22"/>
        <v>9.4500000000000001E-2</v>
      </c>
      <c r="T62">
        <f t="shared" si="22"/>
        <v>9.35E-2</v>
      </c>
      <c r="U62">
        <f t="shared" si="22"/>
        <v>9.2499999999999999E-2</v>
      </c>
      <c r="V62">
        <f t="shared" si="22"/>
        <v>9.1499999999999998E-2</v>
      </c>
      <c r="W62">
        <f t="shared" si="22"/>
        <v>9.01E-2</v>
      </c>
      <c r="X62">
        <f t="shared" si="22"/>
        <v>8.8400000000000006E-2</v>
      </c>
      <c r="Y62">
        <f t="shared" si="22"/>
        <v>8.6300000000000002E-2</v>
      </c>
      <c r="Z62">
        <f t="shared" si="22"/>
        <v>8.43E-2</v>
      </c>
      <c r="AA62">
        <f t="shared" si="22"/>
        <v>8.2199999999999995E-2</v>
      </c>
      <c r="AB62">
        <f t="shared" si="22"/>
        <v>8.0199999999999994E-2</v>
      </c>
      <c r="AC62">
        <f t="shared" si="22"/>
        <v>7.7399999999999997E-2</v>
      </c>
      <c r="AD62">
        <f t="shared" si="22"/>
        <v>1.5800000000000002E-2</v>
      </c>
      <c r="AE62">
        <f t="shared" si="22"/>
        <v>2.5000000000000001E-2</v>
      </c>
      <c r="AF62">
        <f t="shared" si="22"/>
        <v>2.3E-2</v>
      </c>
      <c r="AG62">
        <f t="shared" si="22"/>
        <v>2.2200000000000001E-2</v>
      </c>
      <c r="AH62">
        <f t="shared" si="22"/>
        <v>2.1000000000000001E-2</v>
      </c>
      <c r="AI62">
        <f t="shared" si="22"/>
        <v>1.83E-2</v>
      </c>
      <c r="AJ62">
        <f t="shared" si="22"/>
        <v>1.7299999999999999E-2</v>
      </c>
      <c r="AK62">
        <f t="shared" si="22"/>
        <v>1.47E-2</v>
      </c>
      <c r="AL62">
        <f t="shared" si="22"/>
        <v>1.26E-2</v>
      </c>
      <c r="AM62">
        <f t="shared" si="22"/>
        <v>1.03E-2</v>
      </c>
      <c r="AN62">
        <f t="shared" si="22"/>
        <v>8.6999999999999994E-3</v>
      </c>
      <c r="AO62">
        <f t="shared" si="22"/>
        <v>5.4000000000000003E-3</v>
      </c>
      <c r="AP62">
        <f t="shared" si="22"/>
        <v>3.8999999999999998E-3</v>
      </c>
      <c r="AQ62">
        <f t="shared" si="22"/>
        <v>2.0000000000000001E-4</v>
      </c>
      <c r="AR62">
        <f t="shared" si="22"/>
        <v>4.5999999999999999E-3</v>
      </c>
      <c r="AS62">
        <f t="shared" si="22"/>
        <v>8.3999999999999995E-3</v>
      </c>
      <c r="AT62">
        <f t="shared" si="22"/>
        <v>8.8499999999999995E-2</v>
      </c>
      <c r="AU62">
        <f t="shared" si="22"/>
        <v>8.6300000000000002E-2</v>
      </c>
      <c r="AV62">
        <f t="shared" si="22"/>
        <v>8.3699999999999997E-2</v>
      </c>
      <c r="AW62">
        <f t="shared" si="22"/>
        <v>8.0100000000000005E-2</v>
      </c>
      <c r="AX62">
        <f t="shared" si="22"/>
        <v>7.0000000000000007E-2</v>
      </c>
      <c r="AY62">
        <f t="shared" si="22"/>
        <v>5.1299999999999998E-2</v>
      </c>
      <c r="AZ62">
        <f t="shared" si="22"/>
        <v>2.76E-2</v>
      </c>
      <c r="BA62">
        <f t="shared" si="22"/>
        <v>2.3400000000000001E-2</v>
      </c>
    </row>
    <row r="63" spans="1:53" x14ac:dyDescent="0.3">
      <c r="A63" t="s">
        <v>24</v>
      </c>
      <c r="B63">
        <f t="shared" ref="B63:BA63" si="23">+ABS(B25)</f>
        <v>6.59E-2</v>
      </c>
      <c r="C63">
        <f t="shared" si="23"/>
        <v>6.59E-2</v>
      </c>
      <c r="D63">
        <f t="shared" si="23"/>
        <v>6.7000000000000004E-2</v>
      </c>
      <c r="E63">
        <f t="shared" si="23"/>
        <v>6.6799999999999998E-2</v>
      </c>
      <c r="F63">
        <f t="shared" si="23"/>
        <v>4.1000000000000003E-3</v>
      </c>
      <c r="G63">
        <f t="shared" si="23"/>
        <v>3.0999999999999999E-3</v>
      </c>
      <c r="H63">
        <f t="shared" si="23"/>
        <v>1.6999999999999999E-3</v>
      </c>
      <c r="I63">
        <f t="shared" si="23"/>
        <v>8.9999999999999998E-4</v>
      </c>
      <c r="J63">
        <f t="shared" si="23"/>
        <v>3.7000000000000002E-3</v>
      </c>
      <c r="K63">
        <f t="shared" si="23"/>
        <v>6.6E-3</v>
      </c>
      <c r="L63">
        <f t="shared" si="23"/>
        <v>6.7400000000000002E-2</v>
      </c>
      <c r="M63">
        <f t="shared" si="23"/>
        <v>6.3100000000000003E-2</v>
      </c>
      <c r="N63">
        <f t="shared" si="23"/>
        <v>5.6500000000000002E-2</v>
      </c>
      <c r="O63">
        <f t="shared" si="23"/>
        <v>5.0099999999999999E-2</v>
      </c>
      <c r="P63">
        <f t="shared" si="23"/>
        <v>4.2999999999999997E-2</v>
      </c>
      <c r="Q63">
        <f t="shared" si="23"/>
        <v>3.7900000000000003E-2</v>
      </c>
      <c r="R63">
        <f t="shared" si="23"/>
        <v>3.3599999999999998E-2</v>
      </c>
      <c r="S63">
        <f t="shared" si="23"/>
        <v>2.9499999999999998E-2</v>
      </c>
      <c r="T63">
        <f t="shared" si="23"/>
        <v>2.7199999999999998E-2</v>
      </c>
      <c r="U63">
        <f t="shared" si="23"/>
        <v>2.4299999999999999E-2</v>
      </c>
      <c r="V63">
        <f t="shared" si="23"/>
        <v>2.3300000000000001E-2</v>
      </c>
      <c r="W63">
        <f t="shared" si="23"/>
        <v>2.35E-2</v>
      </c>
      <c r="X63">
        <f t="shared" si="23"/>
        <v>2.2700000000000001E-2</v>
      </c>
      <c r="Y63">
        <f t="shared" si="23"/>
        <v>2.23E-2</v>
      </c>
      <c r="Z63">
        <f t="shared" si="23"/>
        <v>2.1999999999999999E-2</v>
      </c>
      <c r="AA63">
        <f t="shared" si="23"/>
        <v>2.1899999999999999E-2</v>
      </c>
      <c r="AB63">
        <f t="shared" si="23"/>
        <v>2.2100000000000002E-2</v>
      </c>
      <c r="AC63">
        <f t="shared" si="23"/>
        <v>2.2499999999999999E-2</v>
      </c>
      <c r="AD63">
        <f t="shared" si="23"/>
        <v>3.3700000000000001E-2</v>
      </c>
      <c r="AE63">
        <f t="shared" si="23"/>
        <v>2.7900000000000001E-2</v>
      </c>
      <c r="AF63">
        <f t="shared" si="23"/>
        <v>2.75E-2</v>
      </c>
      <c r="AG63">
        <f t="shared" si="23"/>
        <v>2.75E-2</v>
      </c>
      <c r="AH63">
        <f t="shared" si="23"/>
        <v>2.76E-2</v>
      </c>
      <c r="AI63">
        <f t="shared" si="23"/>
        <v>2.64E-2</v>
      </c>
      <c r="AJ63">
        <f t="shared" si="23"/>
        <v>2.75E-2</v>
      </c>
      <c r="AK63">
        <f t="shared" si="23"/>
        <v>2.75E-2</v>
      </c>
      <c r="AL63">
        <f t="shared" si="23"/>
        <v>2.7300000000000001E-2</v>
      </c>
      <c r="AM63">
        <f t="shared" si="23"/>
        <v>2.7300000000000001E-2</v>
      </c>
      <c r="AN63">
        <f t="shared" si="23"/>
        <v>2.7E-2</v>
      </c>
      <c r="AO63">
        <f t="shared" si="23"/>
        <v>2.6700000000000002E-2</v>
      </c>
      <c r="AP63">
        <f t="shared" si="23"/>
        <v>2.4199999999999999E-2</v>
      </c>
      <c r="AQ63">
        <f t="shared" si="23"/>
        <v>0.02</v>
      </c>
      <c r="AR63">
        <f t="shared" si="23"/>
        <v>1.1900000000000001E-2</v>
      </c>
      <c r="AS63">
        <f t="shared" si="23"/>
        <v>1.2999999999999999E-3</v>
      </c>
      <c r="AT63">
        <f t="shared" si="23"/>
        <v>3.0800000000000001E-2</v>
      </c>
      <c r="AU63">
        <f t="shared" si="23"/>
        <v>3.0800000000000001E-2</v>
      </c>
      <c r="AV63">
        <f t="shared" si="23"/>
        <v>3.0800000000000001E-2</v>
      </c>
      <c r="AW63">
        <f t="shared" si="23"/>
        <v>2.93E-2</v>
      </c>
      <c r="AX63">
        <f t="shared" si="23"/>
        <v>2.3699999999999999E-2</v>
      </c>
      <c r="AY63">
        <f t="shared" si="23"/>
        <v>1.9599999999999999E-2</v>
      </c>
      <c r="AZ63">
        <f t="shared" si="23"/>
        <v>2.3199999999999998E-2</v>
      </c>
      <c r="BA63">
        <f t="shared" si="23"/>
        <v>1.54E-2</v>
      </c>
    </row>
    <row r="64" spans="1:53" x14ac:dyDescent="0.3">
      <c r="A64" t="s">
        <v>25</v>
      </c>
      <c r="B64">
        <f t="shared" ref="B64:BA64" si="24">+ABS(B26)</f>
        <v>0.16880000000000001</v>
      </c>
      <c r="C64">
        <f t="shared" si="24"/>
        <v>0.16880000000000001</v>
      </c>
      <c r="D64">
        <f t="shared" si="24"/>
        <v>0.1716</v>
      </c>
      <c r="E64">
        <f t="shared" si="24"/>
        <v>0.17430000000000001</v>
      </c>
      <c r="F64">
        <f t="shared" si="24"/>
        <v>0.18559999999999999</v>
      </c>
      <c r="G64">
        <f t="shared" si="24"/>
        <v>0.18859999999999999</v>
      </c>
      <c r="H64">
        <f t="shared" si="24"/>
        <v>0.19209999999999999</v>
      </c>
      <c r="I64">
        <f t="shared" si="24"/>
        <v>0.19470000000000001</v>
      </c>
      <c r="J64">
        <f t="shared" si="24"/>
        <v>0.1988</v>
      </c>
      <c r="K64">
        <f t="shared" si="24"/>
        <v>0.2031</v>
      </c>
      <c r="L64">
        <f t="shared" si="24"/>
        <v>2.81E-2</v>
      </c>
      <c r="M64">
        <f t="shared" si="24"/>
        <v>2.6599999999999999E-2</v>
      </c>
      <c r="N64">
        <f t="shared" si="24"/>
        <v>2.46E-2</v>
      </c>
      <c r="O64">
        <f t="shared" si="24"/>
        <v>2.3199999999999998E-2</v>
      </c>
      <c r="P64">
        <f t="shared" si="24"/>
        <v>2.0500000000000001E-2</v>
      </c>
      <c r="Q64">
        <f t="shared" si="24"/>
        <v>1.8499999999999999E-2</v>
      </c>
      <c r="R64">
        <f t="shared" si="24"/>
        <v>1.7399999999999999E-2</v>
      </c>
      <c r="S64">
        <f t="shared" si="24"/>
        <v>1.6400000000000001E-2</v>
      </c>
      <c r="T64">
        <f t="shared" si="24"/>
        <v>1.5699999999999999E-2</v>
      </c>
      <c r="U64">
        <f t="shared" si="24"/>
        <v>1.4E-2</v>
      </c>
      <c r="V64">
        <f t="shared" si="24"/>
        <v>1.3299999999999999E-2</v>
      </c>
      <c r="W64">
        <f t="shared" si="24"/>
        <v>1.26E-2</v>
      </c>
      <c r="X64">
        <f t="shared" si="24"/>
        <v>1.1599999999999999E-2</v>
      </c>
      <c r="Y64">
        <f t="shared" si="24"/>
        <v>1.0999999999999999E-2</v>
      </c>
      <c r="Z64">
        <f t="shared" si="24"/>
        <v>0.01</v>
      </c>
      <c r="AA64">
        <f t="shared" si="24"/>
        <v>8.9999999999999993E-3</v>
      </c>
      <c r="AB64">
        <f t="shared" si="24"/>
        <v>7.7000000000000002E-3</v>
      </c>
      <c r="AC64">
        <f t="shared" si="24"/>
        <v>6.4999999999999997E-3</v>
      </c>
      <c r="AD64">
        <f t="shared" si="24"/>
        <v>3.7100000000000001E-2</v>
      </c>
      <c r="AE64">
        <f t="shared" si="24"/>
        <v>0.1283</v>
      </c>
      <c r="AF64">
        <f t="shared" si="24"/>
        <v>0.1293</v>
      </c>
      <c r="AG64">
        <f t="shared" si="24"/>
        <v>0.129</v>
      </c>
      <c r="AH64">
        <f t="shared" si="24"/>
        <v>0.12889999999999999</v>
      </c>
      <c r="AI64">
        <f t="shared" si="24"/>
        <v>0.12790000000000001</v>
      </c>
      <c r="AJ64">
        <f t="shared" si="24"/>
        <v>0.12809999999999999</v>
      </c>
      <c r="AK64">
        <f t="shared" si="24"/>
        <v>0.1273</v>
      </c>
      <c r="AL64">
        <f t="shared" si="24"/>
        <v>0.126</v>
      </c>
      <c r="AM64">
        <f t="shared" si="24"/>
        <v>0.1242</v>
      </c>
      <c r="AN64">
        <f t="shared" si="24"/>
        <v>0.1216</v>
      </c>
      <c r="AO64">
        <f t="shared" si="24"/>
        <v>0.1177</v>
      </c>
      <c r="AP64">
        <f t="shared" si="24"/>
        <v>0.1139</v>
      </c>
      <c r="AQ64">
        <f t="shared" si="24"/>
        <v>0.1094</v>
      </c>
      <c r="AR64">
        <f t="shared" si="24"/>
        <v>0.1007</v>
      </c>
      <c r="AS64">
        <f t="shared" si="24"/>
        <v>8.5900000000000004E-2</v>
      </c>
      <c r="AT64">
        <f t="shared" si="24"/>
        <v>5.1400000000000001E-2</v>
      </c>
      <c r="AU64">
        <f t="shared" si="24"/>
        <v>5.04E-2</v>
      </c>
      <c r="AV64">
        <f t="shared" si="24"/>
        <v>4.6300000000000001E-2</v>
      </c>
      <c r="AW64">
        <f t="shared" si="24"/>
        <v>4.2500000000000003E-2</v>
      </c>
      <c r="AX64">
        <f t="shared" si="24"/>
        <v>3.4599999999999999E-2</v>
      </c>
      <c r="AY64">
        <f t="shared" si="24"/>
        <v>2.2499999999999999E-2</v>
      </c>
      <c r="AZ64">
        <f t="shared" si="24"/>
        <v>7.3000000000000001E-3</v>
      </c>
      <c r="BA64">
        <f t="shared" si="24"/>
        <v>1.5599999999999999E-2</v>
      </c>
    </row>
    <row r="65" spans="1:59" x14ac:dyDescent="0.3">
      <c r="A65" t="s">
        <v>26</v>
      </c>
      <c r="B65">
        <f t="shared" ref="B65:BA65" si="25">+ABS(B27)</f>
        <v>5.5399999999999998E-2</v>
      </c>
      <c r="C65">
        <f t="shared" si="25"/>
        <v>5.5399999999999998E-2</v>
      </c>
      <c r="D65">
        <f t="shared" si="25"/>
        <v>5.7099999999999998E-2</v>
      </c>
      <c r="E65">
        <f t="shared" si="25"/>
        <v>6.0699999999999997E-2</v>
      </c>
      <c r="F65">
        <f t="shared" si="25"/>
        <v>4.9700000000000001E-2</v>
      </c>
      <c r="G65">
        <f t="shared" si="25"/>
        <v>5.0700000000000002E-2</v>
      </c>
      <c r="H65">
        <f t="shared" si="25"/>
        <v>5.11E-2</v>
      </c>
      <c r="I65">
        <f t="shared" si="25"/>
        <v>5.2299999999999999E-2</v>
      </c>
      <c r="J65">
        <f t="shared" si="25"/>
        <v>5.2699999999999997E-2</v>
      </c>
      <c r="K65">
        <f t="shared" si="25"/>
        <v>5.2699999999999997E-2</v>
      </c>
      <c r="L65">
        <f t="shared" si="25"/>
        <v>6.8599999999999994E-2</v>
      </c>
      <c r="M65">
        <f t="shared" si="25"/>
        <v>6.9000000000000006E-2</v>
      </c>
      <c r="N65">
        <f t="shared" si="25"/>
        <v>7.0599999999999996E-2</v>
      </c>
      <c r="O65">
        <f t="shared" si="25"/>
        <v>7.2499999999999995E-2</v>
      </c>
      <c r="P65">
        <f t="shared" si="25"/>
        <v>7.2999999999999995E-2</v>
      </c>
      <c r="Q65">
        <f t="shared" si="25"/>
        <v>7.4200000000000002E-2</v>
      </c>
      <c r="R65">
        <f t="shared" si="25"/>
        <v>7.3400000000000007E-2</v>
      </c>
      <c r="S65">
        <f t="shared" si="25"/>
        <v>7.2700000000000001E-2</v>
      </c>
      <c r="T65">
        <f t="shared" si="25"/>
        <v>7.1900000000000006E-2</v>
      </c>
      <c r="U65">
        <f t="shared" si="25"/>
        <v>7.1300000000000002E-2</v>
      </c>
      <c r="V65">
        <f t="shared" si="25"/>
        <v>7.0400000000000004E-2</v>
      </c>
      <c r="W65">
        <f t="shared" si="25"/>
        <v>7.0699999999999999E-2</v>
      </c>
      <c r="X65">
        <f t="shared" si="25"/>
        <v>7.0599999999999996E-2</v>
      </c>
      <c r="Y65">
        <f t="shared" si="25"/>
        <v>7.0400000000000004E-2</v>
      </c>
      <c r="Z65">
        <f t="shared" si="25"/>
        <v>7.0000000000000007E-2</v>
      </c>
      <c r="AA65">
        <f t="shared" si="25"/>
        <v>7.0300000000000001E-2</v>
      </c>
      <c r="AB65">
        <f t="shared" si="25"/>
        <v>7.0099999999999996E-2</v>
      </c>
      <c r="AC65">
        <f t="shared" si="25"/>
        <v>7.0099999999999996E-2</v>
      </c>
      <c r="AD65">
        <f t="shared" si="25"/>
        <v>2.8E-3</v>
      </c>
      <c r="AE65">
        <f t="shared" si="25"/>
        <v>7.6200000000000004E-2</v>
      </c>
      <c r="AF65">
        <f t="shared" si="25"/>
        <v>7.6200000000000004E-2</v>
      </c>
      <c r="AG65">
        <f t="shared" si="25"/>
        <v>7.6399999999999996E-2</v>
      </c>
      <c r="AH65">
        <f t="shared" si="25"/>
        <v>7.6700000000000004E-2</v>
      </c>
      <c r="AI65">
        <f t="shared" si="25"/>
        <v>7.6300000000000007E-2</v>
      </c>
      <c r="AJ65">
        <f t="shared" si="25"/>
        <v>7.5499999999999998E-2</v>
      </c>
      <c r="AK65">
        <f t="shared" si="25"/>
        <v>7.4499999999999997E-2</v>
      </c>
      <c r="AL65">
        <f t="shared" si="25"/>
        <v>7.1999999999999995E-2</v>
      </c>
      <c r="AM65">
        <f t="shared" si="25"/>
        <v>6.9500000000000006E-2</v>
      </c>
      <c r="AN65">
        <f t="shared" si="25"/>
        <v>6.7699999999999996E-2</v>
      </c>
      <c r="AO65">
        <f t="shared" si="25"/>
        <v>6.4799999999999996E-2</v>
      </c>
      <c r="AP65">
        <f t="shared" si="25"/>
        <v>5.8599999999999999E-2</v>
      </c>
      <c r="AQ65">
        <f t="shared" si="25"/>
        <v>5.6000000000000001E-2</v>
      </c>
      <c r="AR65">
        <f t="shared" si="25"/>
        <v>4.99E-2</v>
      </c>
      <c r="AS65">
        <f t="shared" si="25"/>
        <v>4.0300000000000002E-2</v>
      </c>
      <c r="AT65">
        <f t="shared" si="25"/>
        <v>7.4999999999999997E-2</v>
      </c>
      <c r="AU65">
        <f t="shared" si="25"/>
        <v>7.5600000000000001E-2</v>
      </c>
      <c r="AV65">
        <f t="shared" si="25"/>
        <v>7.5999999999999998E-2</v>
      </c>
      <c r="AW65">
        <f t="shared" si="25"/>
        <v>7.6700000000000004E-2</v>
      </c>
      <c r="AX65">
        <f t="shared" si="25"/>
        <v>7.6200000000000004E-2</v>
      </c>
      <c r="AY65">
        <f t="shared" si="25"/>
        <v>7.4899999999999994E-2</v>
      </c>
      <c r="AZ65">
        <f t="shared" si="25"/>
        <v>7.4899999999999994E-2</v>
      </c>
      <c r="BA65">
        <f t="shared" si="25"/>
        <v>5.3900000000000003E-2</v>
      </c>
    </row>
    <row r="66" spans="1:59" x14ac:dyDescent="0.3">
      <c r="A66" t="s">
        <v>27</v>
      </c>
      <c r="B66">
        <f t="shared" ref="B66:BA66" si="26">+ABS(B28)</f>
        <v>1.9400000000000001E-2</v>
      </c>
      <c r="C66">
        <f t="shared" si="26"/>
        <v>1.9400000000000001E-2</v>
      </c>
      <c r="D66">
        <f t="shared" si="26"/>
        <v>2.01E-2</v>
      </c>
      <c r="E66">
        <f t="shared" si="26"/>
        <v>1.9400000000000001E-2</v>
      </c>
      <c r="F66">
        <f t="shared" si="26"/>
        <v>1.7299999999999999E-2</v>
      </c>
      <c r="G66">
        <f t="shared" si="26"/>
        <v>1.72E-2</v>
      </c>
      <c r="H66">
        <f t="shared" si="26"/>
        <v>1.66E-2</v>
      </c>
      <c r="I66">
        <f t="shared" si="26"/>
        <v>1.6899999999999998E-2</v>
      </c>
      <c r="J66">
        <f t="shared" si="26"/>
        <v>1.7100000000000001E-2</v>
      </c>
      <c r="K66">
        <f t="shared" si="26"/>
        <v>1.67E-2</v>
      </c>
      <c r="L66">
        <f t="shared" si="26"/>
        <v>1.5900000000000001E-2</v>
      </c>
      <c r="M66">
        <f t="shared" si="26"/>
        <v>1.67E-2</v>
      </c>
      <c r="N66">
        <f t="shared" si="26"/>
        <v>1.8800000000000001E-2</v>
      </c>
      <c r="O66">
        <f t="shared" si="26"/>
        <v>2.0500000000000001E-2</v>
      </c>
      <c r="P66">
        <f t="shared" si="26"/>
        <v>2.24E-2</v>
      </c>
      <c r="Q66">
        <f t="shared" si="26"/>
        <v>2.4199999999999999E-2</v>
      </c>
      <c r="R66">
        <f t="shared" si="26"/>
        <v>2.5100000000000001E-2</v>
      </c>
      <c r="S66">
        <f t="shared" si="26"/>
        <v>2.5600000000000001E-2</v>
      </c>
      <c r="T66">
        <f t="shared" si="26"/>
        <v>2.4899999999999999E-2</v>
      </c>
      <c r="U66">
        <f t="shared" si="26"/>
        <v>2.41E-2</v>
      </c>
      <c r="V66">
        <f t="shared" si="26"/>
        <v>2.3099999999999999E-2</v>
      </c>
      <c r="W66">
        <f t="shared" si="26"/>
        <v>2.2100000000000002E-2</v>
      </c>
      <c r="X66">
        <f t="shared" si="26"/>
        <v>2.1499999999999998E-2</v>
      </c>
      <c r="Y66">
        <f t="shared" si="26"/>
        <v>2.0299999999999999E-2</v>
      </c>
      <c r="Z66">
        <f t="shared" si="26"/>
        <v>1.9E-2</v>
      </c>
      <c r="AA66">
        <f t="shared" si="26"/>
        <v>1.83E-2</v>
      </c>
      <c r="AB66">
        <f t="shared" si="26"/>
        <v>1.78E-2</v>
      </c>
      <c r="AC66">
        <f t="shared" si="26"/>
        <v>1.6899999999999998E-2</v>
      </c>
      <c r="AD66">
        <f t="shared" si="26"/>
        <v>6.3700000000000007E-2</v>
      </c>
      <c r="AE66">
        <f t="shared" si="26"/>
        <v>7.3099999999999998E-2</v>
      </c>
      <c r="AF66">
        <f t="shared" si="26"/>
        <v>7.3200000000000001E-2</v>
      </c>
      <c r="AG66">
        <f t="shared" si="26"/>
        <v>7.3999999999999996E-2</v>
      </c>
      <c r="AH66">
        <f t="shared" si="26"/>
        <v>7.4800000000000005E-2</v>
      </c>
      <c r="AI66">
        <f t="shared" si="26"/>
        <v>7.5300000000000006E-2</v>
      </c>
      <c r="AJ66">
        <f t="shared" si="26"/>
        <v>7.6200000000000004E-2</v>
      </c>
      <c r="AK66">
        <f t="shared" si="26"/>
        <v>7.4499999999999997E-2</v>
      </c>
      <c r="AL66">
        <f t="shared" si="26"/>
        <v>7.4099999999999999E-2</v>
      </c>
      <c r="AM66">
        <f t="shared" si="26"/>
        <v>7.51E-2</v>
      </c>
      <c r="AN66">
        <f t="shared" si="26"/>
        <v>7.51E-2</v>
      </c>
      <c r="AO66">
        <f t="shared" si="26"/>
        <v>7.2999999999999995E-2</v>
      </c>
      <c r="AP66">
        <f t="shared" si="26"/>
        <v>6.8699999999999997E-2</v>
      </c>
      <c r="AQ66">
        <f t="shared" si="26"/>
        <v>6.3299999999999995E-2</v>
      </c>
      <c r="AR66">
        <f t="shared" si="26"/>
        <v>5.74E-2</v>
      </c>
      <c r="AS66">
        <f t="shared" si="26"/>
        <v>4.8599999999999997E-2</v>
      </c>
      <c r="AT66">
        <f t="shared" si="26"/>
        <v>2.1299999999999999E-2</v>
      </c>
      <c r="AU66">
        <f t="shared" si="26"/>
        <v>2.23E-2</v>
      </c>
      <c r="AV66">
        <f t="shared" si="26"/>
        <v>2.2800000000000001E-2</v>
      </c>
      <c r="AW66">
        <f t="shared" si="26"/>
        <v>2.4E-2</v>
      </c>
      <c r="AX66">
        <f t="shared" si="26"/>
        <v>2.1600000000000001E-2</v>
      </c>
      <c r="AY66">
        <f t="shared" si="26"/>
        <v>1.89E-2</v>
      </c>
      <c r="AZ66">
        <f t="shared" si="26"/>
        <v>8.0000000000000002E-3</v>
      </c>
      <c r="BA66">
        <f t="shared" si="26"/>
        <v>4.0000000000000001E-3</v>
      </c>
    </row>
    <row r="67" spans="1:59" x14ac:dyDescent="0.3">
      <c r="A67" t="s">
        <v>28</v>
      </c>
      <c r="B67">
        <f t="shared" ref="B67:BA67" si="27">+ABS(B29)</f>
        <v>0.2898</v>
      </c>
      <c r="C67">
        <f t="shared" si="27"/>
        <v>0.2898</v>
      </c>
      <c r="D67">
        <f t="shared" si="27"/>
        <v>0.29039999999999999</v>
      </c>
      <c r="E67">
        <f t="shared" si="27"/>
        <v>0.28910000000000002</v>
      </c>
      <c r="F67">
        <f t="shared" si="27"/>
        <v>1.7299999999999999E-2</v>
      </c>
      <c r="G67">
        <f t="shared" si="27"/>
        <v>1.77E-2</v>
      </c>
      <c r="H67">
        <f t="shared" si="27"/>
        <v>1.7000000000000001E-2</v>
      </c>
      <c r="I67">
        <f t="shared" si="27"/>
        <v>1.5800000000000002E-2</v>
      </c>
      <c r="J67">
        <f t="shared" si="27"/>
        <v>1.5100000000000001E-2</v>
      </c>
      <c r="K67">
        <f t="shared" si="27"/>
        <v>1.41E-2</v>
      </c>
      <c r="L67">
        <f t="shared" si="27"/>
        <v>8.6E-3</v>
      </c>
      <c r="M67">
        <f t="shared" si="27"/>
        <v>7.7999999999999996E-3</v>
      </c>
      <c r="N67">
        <f t="shared" si="27"/>
        <v>7.1000000000000004E-3</v>
      </c>
      <c r="O67">
        <f t="shared" si="27"/>
        <v>6.3E-3</v>
      </c>
      <c r="P67">
        <f t="shared" si="27"/>
        <v>5.7000000000000002E-3</v>
      </c>
      <c r="Q67">
        <f t="shared" si="27"/>
        <v>4.4000000000000003E-3</v>
      </c>
      <c r="R67">
        <f t="shared" si="27"/>
        <v>3.8E-3</v>
      </c>
      <c r="S67">
        <f t="shared" si="27"/>
        <v>3.2000000000000002E-3</v>
      </c>
      <c r="T67">
        <f t="shared" si="27"/>
        <v>2.3999999999999998E-3</v>
      </c>
      <c r="U67">
        <f t="shared" si="27"/>
        <v>1.6999999999999999E-3</v>
      </c>
      <c r="V67">
        <f t="shared" si="27"/>
        <v>8.9999999999999998E-4</v>
      </c>
      <c r="W67">
        <f t="shared" si="27"/>
        <v>8.9999999999999998E-4</v>
      </c>
      <c r="X67">
        <f t="shared" si="27"/>
        <v>1.1000000000000001E-3</v>
      </c>
      <c r="Y67">
        <f t="shared" si="27"/>
        <v>5.9999999999999995E-4</v>
      </c>
      <c r="Z67">
        <f t="shared" si="27"/>
        <v>1.1999999999999999E-3</v>
      </c>
      <c r="AA67">
        <f t="shared" si="27"/>
        <v>1.9E-3</v>
      </c>
      <c r="AB67">
        <f t="shared" si="27"/>
        <v>2.5000000000000001E-3</v>
      </c>
      <c r="AC67">
        <f t="shared" si="27"/>
        <v>2.3999999999999998E-3</v>
      </c>
      <c r="AD67">
        <f t="shared" si="27"/>
        <v>1.23E-2</v>
      </c>
      <c r="AE67">
        <f t="shared" si="27"/>
        <v>5.74E-2</v>
      </c>
      <c r="AF67">
        <f t="shared" si="27"/>
        <v>5.7299999999999997E-2</v>
      </c>
      <c r="AG67">
        <f t="shared" si="27"/>
        <v>5.6300000000000003E-2</v>
      </c>
      <c r="AH67">
        <f t="shared" si="27"/>
        <v>5.4899999999999997E-2</v>
      </c>
      <c r="AI67">
        <f t="shared" si="27"/>
        <v>5.3499999999999999E-2</v>
      </c>
      <c r="AJ67">
        <f t="shared" si="27"/>
        <v>5.2999999999999999E-2</v>
      </c>
      <c r="AK67">
        <f t="shared" si="27"/>
        <v>5.1799999999999999E-2</v>
      </c>
      <c r="AL67">
        <f t="shared" si="27"/>
        <v>4.9399999999999999E-2</v>
      </c>
      <c r="AM67">
        <f t="shared" si="27"/>
        <v>4.7600000000000003E-2</v>
      </c>
      <c r="AN67">
        <f t="shared" si="27"/>
        <v>4.6600000000000003E-2</v>
      </c>
      <c r="AO67">
        <f t="shared" si="27"/>
        <v>4.5199999999999997E-2</v>
      </c>
      <c r="AP67">
        <f t="shared" si="27"/>
        <v>3.85E-2</v>
      </c>
      <c r="AQ67">
        <f t="shared" si="27"/>
        <v>3.27E-2</v>
      </c>
      <c r="AR67">
        <f t="shared" si="27"/>
        <v>2.7300000000000001E-2</v>
      </c>
      <c r="AS67">
        <f t="shared" si="27"/>
        <v>1.72E-2</v>
      </c>
      <c r="AT67">
        <f t="shared" si="27"/>
        <v>8.5400000000000004E-2</v>
      </c>
      <c r="AU67">
        <f t="shared" si="27"/>
        <v>8.6099999999999996E-2</v>
      </c>
      <c r="AV67">
        <f t="shared" si="27"/>
        <v>8.5800000000000001E-2</v>
      </c>
      <c r="AW67">
        <f t="shared" si="27"/>
        <v>8.3000000000000004E-2</v>
      </c>
      <c r="AX67">
        <f t="shared" si="27"/>
        <v>7.1400000000000005E-2</v>
      </c>
      <c r="AY67">
        <f t="shared" si="27"/>
        <v>5.0299999999999997E-2</v>
      </c>
      <c r="AZ67">
        <f t="shared" si="27"/>
        <v>8.8000000000000005E-3</v>
      </c>
      <c r="BA67">
        <f t="shared" si="27"/>
        <v>7.2400000000000006E-2</v>
      </c>
    </row>
    <row r="68" spans="1:59" x14ac:dyDescent="0.3">
      <c r="A68" t="s">
        <v>29</v>
      </c>
      <c r="B68">
        <f t="shared" ref="B68:BA68" si="28">+ABS(B30)</f>
        <v>0.1037</v>
      </c>
      <c r="C68">
        <f t="shared" si="28"/>
        <v>0.1037</v>
      </c>
      <c r="D68">
        <f t="shared" si="28"/>
        <v>0.1038</v>
      </c>
      <c r="E68">
        <f t="shared" si="28"/>
        <v>0.10390000000000001</v>
      </c>
      <c r="F68">
        <f t="shared" si="28"/>
        <v>1.5299999999999999E-2</v>
      </c>
      <c r="G68">
        <f t="shared" si="28"/>
        <v>1.44E-2</v>
      </c>
      <c r="H68">
        <f t="shared" si="28"/>
        <v>1.1599999999999999E-2</v>
      </c>
      <c r="I68">
        <f t="shared" si="28"/>
        <v>8.5000000000000006E-3</v>
      </c>
      <c r="J68">
        <f t="shared" si="28"/>
        <v>5.3E-3</v>
      </c>
      <c r="K68">
        <f t="shared" si="28"/>
        <v>2.3E-3</v>
      </c>
      <c r="L68">
        <f t="shared" si="28"/>
        <v>1.49E-2</v>
      </c>
      <c r="M68">
        <f t="shared" si="28"/>
        <v>1.1900000000000001E-2</v>
      </c>
      <c r="N68">
        <f t="shared" si="28"/>
        <v>8.6999999999999994E-3</v>
      </c>
      <c r="O68">
        <f t="shared" si="28"/>
        <v>5.7999999999999996E-3</v>
      </c>
      <c r="P68">
        <f t="shared" si="28"/>
        <v>2.8999999999999998E-3</v>
      </c>
      <c r="Q68">
        <f t="shared" si="28"/>
        <v>5.9999999999999995E-4</v>
      </c>
      <c r="R68">
        <f t="shared" si="28"/>
        <v>1.4E-3</v>
      </c>
      <c r="S68">
        <f t="shared" si="28"/>
        <v>4.1000000000000003E-3</v>
      </c>
      <c r="T68">
        <f t="shared" si="28"/>
        <v>5.7000000000000002E-3</v>
      </c>
      <c r="U68">
        <f t="shared" si="28"/>
        <v>7.9000000000000008E-3</v>
      </c>
      <c r="V68">
        <f t="shared" si="28"/>
        <v>1.0500000000000001E-2</v>
      </c>
      <c r="W68">
        <f t="shared" si="28"/>
        <v>1.23E-2</v>
      </c>
      <c r="X68">
        <f t="shared" si="28"/>
        <v>1.37E-2</v>
      </c>
      <c r="Y68">
        <f t="shared" si="28"/>
        <v>1.54E-2</v>
      </c>
      <c r="Z68">
        <f t="shared" si="28"/>
        <v>1.7000000000000001E-2</v>
      </c>
      <c r="AA68">
        <f t="shared" si="28"/>
        <v>1.8700000000000001E-2</v>
      </c>
      <c r="AB68">
        <f t="shared" si="28"/>
        <v>2.01E-2</v>
      </c>
      <c r="AC68">
        <f t="shared" si="28"/>
        <v>2.1899999999999999E-2</v>
      </c>
      <c r="AD68">
        <f t="shared" si="28"/>
        <v>2.3099999999999999E-2</v>
      </c>
      <c r="AE68">
        <f t="shared" si="28"/>
        <v>6.3E-2</v>
      </c>
      <c r="AF68">
        <f t="shared" si="28"/>
        <v>6.1199999999999997E-2</v>
      </c>
      <c r="AG68">
        <f t="shared" si="28"/>
        <v>5.8999999999999997E-2</v>
      </c>
      <c r="AH68">
        <f t="shared" si="28"/>
        <v>5.6399999999999999E-2</v>
      </c>
      <c r="AI68">
        <f t="shared" si="28"/>
        <v>5.2600000000000001E-2</v>
      </c>
      <c r="AJ68">
        <f t="shared" si="28"/>
        <v>4.87E-2</v>
      </c>
      <c r="AK68">
        <f t="shared" si="28"/>
        <v>4.4600000000000001E-2</v>
      </c>
      <c r="AL68">
        <f t="shared" si="28"/>
        <v>4.1200000000000001E-2</v>
      </c>
      <c r="AM68">
        <f t="shared" si="28"/>
        <v>3.6999999999999998E-2</v>
      </c>
      <c r="AN68">
        <f t="shared" si="28"/>
        <v>3.2199999999999999E-2</v>
      </c>
      <c r="AO68">
        <f t="shared" si="28"/>
        <v>2.6499999999999999E-2</v>
      </c>
      <c r="AP68">
        <f t="shared" si="28"/>
        <v>1.83E-2</v>
      </c>
      <c r="AQ68">
        <f t="shared" si="28"/>
        <v>9.9000000000000008E-3</v>
      </c>
      <c r="AR68">
        <f t="shared" si="28"/>
        <v>1.6000000000000001E-3</v>
      </c>
      <c r="AS68">
        <f t="shared" si="28"/>
        <v>8.6999999999999994E-3</v>
      </c>
      <c r="AT68">
        <f t="shared" si="28"/>
        <v>9.5299999999999996E-2</v>
      </c>
      <c r="AU68">
        <f t="shared" si="28"/>
        <v>9.06E-2</v>
      </c>
      <c r="AV68">
        <f t="shared" si="28"/>
        <v>8.3099999999999993E-2</v>
      </c>
      <c r="AW68">
        <f t="shared" si="28"/>
        <v>7.7200000000000005E-2</v>
      </c>
      <c r="AX68">
        <f t="shared" si="28"/>
        <v>6.7400000000000002E-2</v>
      </c>
      <c r="AY68">
        <f t="shared" si="28"/>
        <v>4.8399999999999999E-2</v>
      </c>
      <c r="AZ68">
        <f t="shared" si="28"/>
        <v>1.29E-2</v>
      </c>
      <c r="BA68">
        <f t="shared" si="28"/>
        <v>4.1500000000000002E-2</v>
      </c>
    </row>
    <row r="69" spans="1:59" x14ac:dyDescent="0.3">
      <c r="A69" t="s">
        <v>30</v>
      </c>
      <c r="B69">
        <f t="shared" ref="B69:BA69" si="29">+ABS(B31)</f>
        <v>9.1700000000000004E-2</v>
      </c>
      <c r="C69">
        <f t="shared" si="29"/>
        <v>9.1700000000000004E-2</v>
      </c>
      <c r="D69">
        <f t="shared" si="29"/>
        <v>8.9800000000000005E-2</v>
      </c>
      <c r="E69">
        <f t="shared" si="29"/>
        <v>8.5999999999999993E-2</v>
      </c>
      <c r="F69">
        <f t="shared" si="29"/>
        <v>5.7299999999999997E-2</v>
      </c>
      <c r="G69">
        <f t="shared" si="29"/>
        <v>5.79E-2</v>
      </c>
      <c r="H69">
        <f t="shared" si="29"/>
        <v>5.8799999999999998E-2</v>
      </c>
      <c r="I69">
        <f t="shared" si="29"/>
        <v>6.0400000000000002E-2</v>
      </c>
      <c r="J69">
        <f t="shared" si="29"/>
        <v>6.0999999999999999E-2</v>
      </c>
      <c r="K69">
        <f t="shared" si="29"/>
        <v>6.1600000000000002E-2</v>
      </c>
      <c r="L69">
        <f t="shared" si="29"/>
        <v>7.7700000000000005E-2</v>
      </c>
      <c r="M69">
        <f t="shared" si="29"/>
        <v>7.8600000000000003E-2</v>
      </c>
      <c r="N69">
        <f t="shared" si="29"/>
        <v>8.1000000000000003E-2</v>
      </c>
      <c r="O69">
        <f t="shared" si="29"/>
        <v>8.3299999999999999E-2</v>
      </c>
      <c r="P69">
        <f t="shared" si="29"/>
        <v>8.4500000000000006E-2</v>
      </c>
      <c r="Q69">
        <f t="shared" si="29"/>
        <v>8.6800000000000002E-2</v>
      </c>
      <c r="R69">
        <f t="shared" si="29"/>
        <v>8.8900000000000007E-2</v>
      </c>
      <c r="S69">
        <f t="shared" si="29"/>
        <v>9.0300000000000005E-2</v>
      </c>
      <c r="T69">
        <f t="shared" si="29"/>
        <v>9.1499999999999998E-2</v>
      </c>
      <c r="U69">
        <f t="shared" si="29"/>
        <v>9.1999999999999998E-2</v>
      </c>
      <c r="V69">
        <f t="shared" si="29"/>
        <v>9.2799999999999994E-2</v>
      </c>
      <c r="W69">
        <f t="shared" si="29"/>
        <v>9.3600000000000003E-2</v>
      </c>
      <c r="X69">
        <f t="shared" si="29"/>
        <v>9.3899999999999997E-2</v>
      </c>
      <c r="Y69">
        <f t="shared" si="29"/>
        <v>9.5100000000000004E-2</v>
      </c>
      <c r="Z69">
        <f t="shared" si="29"/>
        <v>9.4500000000000001E-2</v>
      </c>
      <c r="AA69">
        <f t="shared" si="29"/>
        <v>9.5799999999999996E-2</v>
      </c>
      <c r="AB69">
        <f t="shared" si="29"/>
        <v>9.7199999999999995E-2</v>
      </c>
      <c r="AC69">
        <f t="shared" si="29"/>
        <v>9.8000000000000004E-2</v>
      </c>
      <c r="AD69">
        <f t="shared" si="29"/>
        <v>6.2100000000000002E-2</v>
      </c>
      <c r="AE69">
        <f t="shared" si="29"/>
        <v>1.8200000000000001E-2</v>
      </c>
      <c r="AF69">
        <f t="shared" si="29"/>
        <v>1.9E-2</v>
      </c>
      <c r="AG69">
        <f t="shared" si="29"/>
        <v>1.95E-2</v>
      </c>
      <c r="AH69">
        <f t="shared" si="29"/>
        <v>0.02</v>
      </c>
      <c r="AI69">
        <f t="shared" si="29"/>
        <v>2.1399999999999999E-2</v>
      </c>
      <c r="AJ69">
        <f t="shared" si="29"/>
        <v>2.2100000000000002E-2</v>
      </c>
      <c r="AK69">
        <f t="shared" si="29"/>
        <v>2.18E-2</v>
      </c>
      <c r="AL69">
        <f t="shared" si="29"/>
        <v>2.1899999999999999E-2</v>
      </c>
      <c r="AM69">
        <f t="shared" si="29"/>
        <v>2.2100000000000002E-2</v>
      </c>
      <c r="AN69">
        <f t="shared" si="29"/>
        <v>2.1499999999999998E-2</v>
      </c>
      <c r="AO69">
        <f t="shared" si="29"/>
        <v>1.9800000000000002E-2</v>
      </c>
      <c r="AP69">
        <f t="shared" si="29"/>
        <v>1.78E-2</v>
      </c>
      <c r="AQ69">
        <f t="shared" si="29"/>
        <v>1.6299999999999999E-2</v>
      </c>
      <c r="AR69">
        <f t="shared" si="29"/>
        <v>1.4800000000000001E-2</v>
      </c>
      <c r="AS69">
        <f t="shared" si="29"/>
        <v>1.0200000000000001E-2</v>
      </c>
      <c r="AT69">
        <f t="shared" si="29"/>
        <v>5.5899999999999998E-2</v>
      </c>
      <c r="AU69">
        <f t="shared" si="29"/>
        <v>5.1400000000000001E-2</v>
      </c>
      <c r="AV69">
        <f t="shared" si="29"/>
        <v>4.8000000000000001E-2</v>
      </c>
      <c r="AW69">
        <f t="shared" si="29"/>
        <v>4.2099999999999999E-2</v>
      </c>
      <c r="AX69">
        <f t="shared" si="29"/>
        <v>3.5900000000000001E-2</v>
      </c>
      <c r="AY69">
        <f t="shared" si="29"/>
        <v>3.0599999999999999E-2</v>
      </c>
      <c r="AZ69">
        <f t="shared" si="29"/>
        <v>2.12E-2</v>
      </c>
      <c r="BA69">
        <f t="shared" si="29"/>
        <v>6.9999999999999999E-4</v>
      </c>
    </row>
    <row r="70" spans="1:59" x14ac:dyDescent="0.3">
      <c r="A70" t="s">
        <v>31</v>
      </c>
      <c r="B70">
        <f t="shared" ref="B70:BA70" si="30">+ABS(B32)</f>
        <v>2.9100000000000001E-2</v>
      </c>
      <c r="C70">
        <f t="shared" si="30"/>
        <v>2.9100000000000001E-2</v>
      </c>
      <c r="D70">
        <f t="shared" si="30"/>
        <v>2.81E-2</v>
      </c>
      <c r="E70">
        <f t="shared" si="30"/>
        <v>2.7900000000000001E-2</v>
      </c>
      <c r="F70">
        <f t="shared" si="30"/>
        <v>4.3499999999999997E-2</v>
      </c>
      <c r="G70">
        <f t="shared" si="30"/>
        <v>4.1700000000000001E-2</v>
      </c>
      <c r="H70">
        <f t="shared" si="30"/>
        <v>4.0599999999999997E-2</v>
      </c>
      <c r="I70">
        <f t="shared" si="30"/>
        <v>3.8800000000000001E-2</v>
      </c>
      <c r="J70">
        <f t="shared" si="30"/>
        <v>3.5900000000000001E-2</v>
      </c>
      <c r="K70">
        <f t="shared" si="30"/>
        <v>3.3700000000000001E-2</v>
      </c>
      <c r="L70">
        <f t="shared" si="30"/>
        <v>4.2500000000000003E-2</v>
      </c>
      <c r="M70">
        <f t="shared" si="30"/>
        <v>0.04</v>
      </c>
      <c r="N70">
        <f t="shared" si="30"/>
        <v>3.8600000000000002E-2</v>
      </c>
      <c r="O70">
        <f t="shared" si="30"/>
        <v>3.8699999999999998E-2</v>
      </c>
      <c r="P70">
        <f t="shared" si="30"/>
        <v>3.7699999999999997E-2</v>
      </c>
      <c r="Q70">
        <f t="shared" si="30"/>
        <v>3.73E-2</v>
      </c>
      <c r="R70">
        <f t="shared" si="30"/>
        <v>3.6600000000000001E-2</v>
      </c>
      <c r="S70">
        <f t="shared" si="30"/>
        <v>3.5799999999999998E-2</v>
      </c>
      <c r="T70">
        <f t="shared" si="30"/>
        <v>3.4700000000000002E-2</v>
      </c>
      <c r="U70">
        <f t="shared" si="30"/>
        <v>3.3700000000000001E-2</v>
      </c>
      <c r="V70">
        <f t="shared" si="30"/>
        <v>3.2800000000000003E-2</v>
      </c>
      <c r="W70">
        <f t="shared" si="30"/>
        <v>3.1800000000000002E-2</v>
      </c>
      <c r="X70">
        <f t="shared" si="30"/>
        <v>3.1199999999999999E-2</v>
      </c>
      <c r="Y70">
        <f t="shared" si="30"/>
        <v>2.9700000000000001E-2</v>
      </c>
      <c r="Z70">
        <f t="shared" si="30"/>
        <v>2.8400000000000002E-2</v>
      </c>
      <c r="AA70">
        <f t="shared" si="30"/>
        <v>2.6800000000000001E-2</v>
      </c>
      <c r="AB70">
        <f t="shared" si="30"/>
        <v>2.63E-2</v>
      </c>
      <c r="AC70">
        <f t="shared" si="30"/>
        <v>2.6800000000000001E-2</v>
      </c>
      <c r="AD70">
        <f t="shared" si="30"/>
        <v>5.5999999999999999E-3</v>
      </c>
      <c r="AE70">
        <f t="shared" si="30"/>
        <v>1.12E-2</v>
      </c>
      <c r="AF70">
        <f t="shared" si="30"/>
        <v>1.21E-2</v>
      </c>
      <c r="AG70">
        <f t="shared" si="30"/>
        <v>1.2E-2</v>
      </c>
      <c r="AH70">
        <f t="shared" si="30"/>
        <v>1.0500000000000001E-2</v>
      </c>
      <c r="AI70">
        <f t="shared" si="30"/>
        <v>1.0699999999999999E-2</v>
      </c>
      <c r="AJ70">
        <f t="shared" si="30"/>
        <v>9.2999999999999992E-3</v>
      </c>
      <c r="AK70">
        <f t="shared" si="30"/>
        <v>7.6E-3</v>
      </c>
      <c r="AL70">
        <f t="shared" si="30"/>
        <v>7.1999999999999998E-3</v>
      </c>
      <c r="AM70">
        <f t="shared" si="30"/>
        <v>4.3E-3</v>
      </c>
      <c r="AN70">
        <f t="shared" si="30"/>
        <v>1.8E-3</v>
      </c>
      <c r="AO70">
        <f t="shared" si="30"/>
        <v>1.2999999999999999E-3</v>
      </c>
      <c r="AP70">
        <f t="shared" si="30"/>
        <v>3.8E-3</v>
      </c>
      <c r="AQ70">
        <f t="shared" si="30"/>
        <v>6.7999999999999996E-3</v>
      </c>
      <c r="AR70">
        <f t="shared" si="30"/>
        <v>8.6E-3</v>
      </c>
      <c r="AS70">
        <f t="shared" si="30"/>
        <v>5.7999999999999996E-3</v>
      </c>
      <c r="AT70">
        <f t="shared" si="30"/>
        <v>5.4699999999999999E-2</v>
      </c>
      <c r="AU70">
        <f t="shared" si="30"/>
        <v>5.62E-2</v>
      </c>
      <c r="AV70">
        <f t="shared" si="30"/>
        <v>5.7200000000000001E-2</v>
      </c>
      <c r="AW70">
        <f t="shared" si="30"/>
        <v>5.5300000000000002E-2</v>
      </c>
      <c r="AX70">
        <f t="shared" si="30"/>
        <v>5.5599999999999997E-2</v>
      </c>
      <c r="AY70">
        <f t="shared" si="30"/>
        <v>5.5899999999999998E-2</v>
      </c>
      <c r="AZ70">
        <f t="shared" si="30"/>
        <v>4.8399999999999999E-2</v>
      </c>
      <c r="BA70">
        <f t="shared" si="30"/>
        <v>3.2000000000000001E-2</v>
      </c>
    </row>
    <row r="71" spans="1:59" x14ac:dyDescent="0.3">
      <c r="A71" t="s">
        <v>32</v>
      </c>
      <c r="B71">
        <f t="shared" ref="B71:BA71" si="31">+ABS(B33)</f>
        <v>5.5899999999999998E-2</v>
      </c>
      <c r="C71">
        <f t="shared" si="31"/>
        <v>5.5899999999999998E-2</v>
      </c>
      <c r="D71">
        <f t="shared" si="31"/>
        <v>5.6000000000000001E-2</v>
      </c>
      <c r="E71">
        <f t="shared" si="31"/>
        <v>5.5800000000000002E-2</v>
      </c>
      <c r="F71">
        <f t="shared" si="31"/>
        <v>8.09E-2</v>
      </c>
      <c r="G71">
        <f t="shared" si="31"/>
        <v>8.0699999999999994E-2</v>
      </c>
      <c r="H71">
        <f t="shared" si="31"/>
        <v>7.9699999999999993E-2</v>
      </c>
      <c r="I71">
        <f t="shared" si="31"/>
        <v>7.8600000000000003E-2</v>
      </c>
      <c r="J71">
        <f t="shared" si="31"/>
        <v>7.8299999999999995E-2</v>
      </c>
      <c r="K71">
        <f t="shared" si="31"/>
        <v>7.8200000000000006E-2</v>
      </c>
      <c r="L71">
        <f t="shared" si="31"/>
        <v>6.6100000000000006E-2</v>
      </c>
      <c r="M71">
        <f t="shared" si="31"/>
        <v>6.3200000000000006E-2</v>
      </c>
      <c r="N71">
        <f t="shared" si="31"/>
        <v>6.0100000000000001E-2</v>
      </c>
      <c r="O71">
        <f t="shared" si="31"/>
        <v>5.8000000000000003E-2</v>
      </c>
      <c r="P71">
        <f t="shared" si="31"/>
        <v>5.6300000000000003E-2</v>
      </c>
      <c r="Q71">
        <f t="shared" si="31"/>
        <v>5.4800000000000001E-2</v>
      </c>
      <c r="R71">
        <f t="shared" si="31"/>
        <v>5.3100000000000001E-2</v>
      </c>
      <c r="S71">
        <f t="shared" si="31"/>
        <v>5.1499999999999997E-2</v>
      </c>
      <c r="T71">
        <f t="shared" si="31"/>
        <v>5.04E-2</v>
      </c>
      <c r="U71">
        <f t="shared" si="31"/>
        <v>5.0200000000000002E-2</v>
      </c>
      <c r="V71">
        <f t="shared" si="31"/>
        <v>5.0500000000000003E-2</v>
      </c>
      <c r="W71">
        <f t="shared" si="31"/>
        <v>5.0799999999999998E-2</v>
      </c>
      <c r="X71">
        <f t="shared" si="31"/>
        <v>5.2400000000000002E-2</v>
      </c>
      <c r="Y71">
        <f t="shared" si="31"/>
        <v>5.3800000000000001E-2</v>
      </c>
      <c r="Z71">
        <f t="shared" si="31"/>
        <v>5.5E-2</v>
      </c>
      <c r="AA71">
        <f t="shared" si="31"/>
        <v>5.6300000000000003E-2</v>
      </c>
      <c r="AB71">
        <f t="shared" si="31"/>
        <v>5.7099999999999998E-2</v>
      </c>
      <c r="AC71">
        <f t="shared" si="31"/>
        <v>5.8299999999999998E-2</v>
      </c>
      <c r="AD71">
        <f t="shared" si="31"/>
        <v>1.37E-2</v>
      </c>
      <c r="AE71">
        <f t="shared" si="31"/>
        <v>8.0799999999999997E-2</v>
      </c>
      <c r="AF71">
        <f t="shared" si="31"/>
        <v>8.2500000000000004E-2</v>
      </c>
      <c r="AG71">
        <f t="shared" si="31"/>
        <v>8.3400000000000002E-2</v>
      </c>
      <c r="AH71">
        <f t="shared" si="31"/>
        <v>8.4699999999999998E-2</v>
      </c>
      <c r="AI71">
        <f t="shared" si="31"/>
        <v>8.7800000000000003E-2</v>
      </c>
      <c r="AJ71">
        <f t="shared" si="31"/>
        <v>8.9399999999999993E-2</v>
      </c>
      <c r="AK71">
        <f t="shared" si="31"/>
        <v>9.1300000000000006E-2</v>
      </c>
      <c r="AL71">
        <f t="shared" si="31"/>
        <v>9.4399999999999998E-2</v>
      </c>
      <c r="AM71">
        <f t="shared" si="31"/>
        <v>9.8000000000000004E-2</v>
      </c>
      <c r="AN71">
        <f t="shared" si="31"/>
        <v>0.10299999999999999</v>
      </c>
      <c r="AO71">
        <f t="shared" si="31"/>
        <v>0.107</v>
      </c>
      <c r="AP71">
        <f t="shared" si="31"/>
        <v>0.11169999999999999</v>
      </c>
      <c r="AQ71">
        <f t="shared" si="31"/>
        <v>0.1181</v>
      </c>
      <c r="AR71">
        <f t="shared" si="31"/>
        <v>0.12939999999999999</v>
      </c>
      <c r="AS71">
        <f t="shared" si="31"/>
        <v>0.14030000000000001</v>
      </c>
      <c r="AT71">
        <f t="shared" si="31"/>
        <v>0.24099999999999999</v>
      </c>
      <c r="AU71">
        <f t="shared" si="31"/>
        <v>0.25890000000000002</v>
      </c>
      <c r="AV71">
        <f t="shared" si="31"/>
        <v>0.27429999999999999</v>
      </c>
      <c r="AW71">
        <f t="shared" si="31"/>
        <v>0.28699999999999998</v>
      </c>
      <c r="AX71">
        <f t="shared" si="31"/>
        <v>0.29599999999999999</v>
      </c>
      <c r="AY71">
        <f t="shared" si="31"/>
        <v>0.2873</v>
      </c>
      <c r="AZ71">
        <f t="shared" si="31"/>
        <v>0.24210000000000001</v>
      </c>
      <c r="BA71">
        <f t="shared" si="31"/>
        <v>5.6399999999999999E-2</v>
      </c>
    </row>
    <row r="72" spans="1:59" x14ac:dyDescent="0.3">
      <c r="A72" t="s">
        <v>33</v>
      </c>
      <c r="B72">
        <f t="shared" ref="B72:BA72" si="32">+ABS(B34)</f>
        <v>6.25E-2</v>
      </c>
      <c r="C72">
        <f t="shared" si="32"/>
        <v>6.25E-2</v>
      </c>
      <c r="D72">
        <f t="shared" si="32"/>
        <v>6.4399999999999999E-2</v>
      </c>
      <c r="E72">
        <f t="shared" si="32"/>
        <v>6.5699999999999995E-2</v>
      </c>
      <c r="F72">
        <f t="shared" si="32"/>
        <v>4.1700000000000001E-2</v>
      </c>
      <c r="G72">
        <f t="shared" si="32"/>
        <v>4.3099999999999999E-2</v>
      </c>
      <c r="H72">
        <f t="shared" si="32"/>
        <v>4.5199999999999997E-2</v>
      </c>
      <c r="I72">
        <f t="shared" si="32"/>
        <v>4.7500000000000001E-2</v>
      </c>
      <c r="J72">
        <f t="shared" si="32"/>
        <v>5.0799999999999998E-2</v>
      </c>
      <c r="K72">
        <f t="shared" si="32"/>
        <v>5.3699999999999998E-2</v>
      </c>
      <c r="L72">
        <f t="shared" si="32"/>
        <v>5.7099999999999998E-2</v>
      </c>
      <c r="M72">
        <f t="shared" si="32"/>
        <v>6.1199999999999997E-2</v>
      </c>
      <c r="N72">
        <f t="shared" si="32"/>
        <v>6.5699999999999995E-2</v>
      </c>
      <c r="O72">
        <f t="shared" si="32"/>
        <v>6.93E-2</v>
      </c>
      <c r="P72">
        <f t="shared" si="32"/>
        <v>7.22E-2</v>
      </c>
      <c r="Q72">
        <f t="shared" si="32"/>
        <v>7.51E-2</v>
      </c>
      <c r="R72">
        <f t="shared" si="32"/>
        <v>7.7299999999999994E-2</v>
      </c>
      <c r="S72">
        <f t="shared" si="32"/>
        <v>7.8299999999999995E-2</v>
      </c>
      <c r="T72">
        <f t="shared" si="32"/>
        <v>7.9200000000000007E-2</v>
      </c>
      <c r="U72">
        <f t="shared" si="32"/>
        <v>8.0699999999999994E-2</v>
      </c>
      <c r="V72">
        <f t="shared" si="32"/>
        <v>8.2100000000000006E-2</v>
      </c>
      <c r="W72">
        <f t="shared" si="32"/>
        <v>8.3699999999999997E-2</v>
      </c>
      <c r="X72">
        <f t="shared" si="32"/>
        <v>8.4699999999999998E-2</v>
      </c>
      <c r="Y72">
        <f t="shared" si="32"/>
        <v>8.5599999999999996E-2</v>
      </c>
      <c r="Z72">
        <f t="shared" si="32"/>
        <v>8.6699999999999999E-2</v>
      </c>
      <c r="AA72">
        <f t="shared" si="32"/>
        <v>8.77E-2</v>
      </c>
      <c r="AB72">
        <f t="shared" si="32"/>
        <v>8.7900000000000006E-2</v>
      </c>
      <c r="AC72">
        <f t="shared" si="32"/>
        <v>8.8999999999999996E-2</v>
      </c>
      <c r="AD72">
        <f t="shared" si="32"/>
        <v>4.9599999999999998E-2</v>
      </c>
      <c r="AE72">
        <f t="shared" si="32"/>
        <v>5.96E-2</v>
      </c>
      <c r="AF72">
        <f t="shared" si="32"/>
        <v>5.79E-2</v>
      </c>
      <c r="AG72">
        <f t="shared" si="32"/>
        <v>5.6000000000000001E-2</v>
      </c>
      <c r="AH72">
        <f t="shared" si="32"/>
        <v>5.4699999999999999E-2</v>
      </c>
      <c r="AI72">
        <f t="shared" si="32"/>
        <v>5.2600000000000001E-2</v>
      </c>
      <c r="AJ72">
        <f t="shared" si="32"/>
        <v>5.1299999999999998E-2</v>
      </c>
      <c r="AK72">
        <f t="shared" si="32"/>
        <v>4.9200000000000001E-2</v>
      </c>
      <c r="AL72">
        <f t="shared" si="32"/>
        <v>4.7500000000000001E-2</v>
      </c>
      <c r="AM72">
        <f t="shared" si="32"/>
        <v>4.6300000000000001E-2</v>
      </c>
      <c r="AN72">
        <f t="shared" si="32"/>
        <v>4.2000000000000003E-2</v>
      </c>
      <c r="AO72">
        <f t="shared" si="32"/>
        <v>3.8100000000000002E-2</v>
      </c>
      <c r="AP72">
        <f t="shared" si="32"/>
        <v>3.1E-2</v>
      </c>
      <c r="AQ72">
        <f t="shared" si="32"/>
        <v>2.3699999999999999E-2</v>
      </c>
      <c r="AR72">
        <f t="shared" si="32"/>
        <v>1.4E-2</v>
      </c>
      <c r="AS72">
        <f t="shared" si="32"/>
        <v>8.0000000000000004E-4</v>
      </c>
      <c r="AT72">
        <f t="shared" si="32"/>
        <v>0.1933</v>
      </c>
      <c r="AU72">
        <f t="shared" si="32"/>
        <v>0.2331</v>
      </c>
      <c r="AV72">
        <f t="shared" si="32"/>
        <v>0.28860000000000002</v>
      </c>
      <c r="AW72">
        <f t="shared" si="32"/>
        <v>0.3619</v>
      </c>
      <c r="AX72">
        <f t="shared" si="32"/>
        <v>0.4657</v>
      </c>
      <c r="AY72">
        <f t="shared" si="32"/>
        <v>0.61350000000000005</v>
      </c>
      <c r="AZ72">
        <f t="shared" si="32"/>
        <v>0.81559999999999999</v>
      </c>
      <c r="BA72">
        <f t="shared" si="32"/>
        <v>1</v>
      </c>
    </row>
    <row r="73" spans="1:59" x14ac:dyDescent="0.3">
      <c r="A73" t="s">
        <v>34</v>
      </c>
      <c r="B73">
        <f t="shared" ref="B73:BA73" si="33">+ABS(B35)</f>
        <v>1.2800000000000001E-2</v>
      </c>
      <c r="C73">
        <f t="shared" si="33"/>
        <v>1.2800000000000001E-2</v>
      </c>
      <c r="D73">
        <f t="shared" si="33"/>
        <v>1.4E-2</v>
      </c>
      <c r="E73">
        <f t="shared" si="33"/>
        <v>1.5699999999999999E-2</v>
      </c>
      <c r="F73">
        <f t="shared" si="33"/>
        <v>4.5199999999999997E-2</v>
      </c>
      <c r="G73">
        <f t="shared" si="33"/>
        <v>4.65E-2</v>
      </c>
      <c r="H73">
        <f t="shared" si="33"/>
        <v>4.7699999999999999E-2</v>
      </c>
      <c r="I73">
        <f t="shared" si="33"/>
        <v>4.8599999999999997E-2</v>
      </c>
      <c r="J73">
        <f t="shared" si="33"/>
        <v>5.0799999999999998E-2</v>
      </c>
      <c r="K73">
        <f t="shared" si="33"/>
        <v>5.11E-2</v>
      </c>
      <c r="L73">
        <f t="shared" si="33"/>
        <v>4.8000000000000001E-2</v>
      </c>
      <c r="M73">
        <f t="shared" si="33"/>
        <v>5.0299999999999997E-2</v>
      </c>
      <c r="N73">
        <f t="shared" si="33"/>
        <v>5.2200000000000003E-2</v>
      </c>
      <c r="O73">
        <f t="shared" si="33"/>
        <v>5.4199999999999998E-2</v>
      </c>
      <c r="P73">
        <f t="shared" si="33"/>
        <v>5.45E-2</v>
      </c>
      <c r="Q73">
        <f t="shared" si="33"/>
        <v>5.45E-2</v>
      </c>
      <c r="R73">
        <f t="shared" si="33"/>
        <v>5.4899999999999997E-2</v>
      </c>
      <c r="S73">
        <f t="shared" si="33"/>
        <v>5.4399999999999997E-2</v>
      </c>
      <c r="T73">
        <f t="shared" si="33"/>
        <v>5.4600000000000003E-2</v>
      </c>
      <c r="U73">
        <f t="shared" si="33"/>
        <v>5.5599999999999997E-2</v>
      </c>
      <c r="V73">
        <f t="shared" si="33"/>
        <v>5.62E-2</v>
      </c>
      <c r="W73">
        <f t="shared" si="33"/>
        <v>5.6000000000000001E-2</v>
      </c>
      <c r="X73">
        <f t="shared" si="33"/>
        <v>5.6599999999999998E-2</v>
      </c>
      <c r="Y73">
        <f t="shared" si="33"/>
        <v>5.6500000000000002E-2</v>
      </c>
      <c r="Z73">
        <f t="shared" si="33"/>
        <v>5.6099999999999997E-2</v>
      </c>
      <c r="AA73">
        <f t="shared" si="33"/>
        <v>5.6099999999999997E-2</v>
      </c>
      <c r="AB73">
        <f t="shared" si="33"/>
        <v>5.5500000000000001E-2</v>
      </c>
      <c r="AC73">
        <f t="shared" si="33"/>
        <v>5.5300000000000002E-2</v>
      </c>
      <c r="AD73">
        <f t="shared" si="33"/>
        <v>1.17E-2</v>
      </c>
      <c r="AE73">
        <f t="shared" si="33"/>
        <v>0.12139999999999999</v>
      </c>
      <c r="AF73">
        <f t="shared" si="33"/>
        <v>0.1225</v>
      </c>
      <c r="AG73">
        <f t="shared" si="33"/>
        <v>0.1231</v>
      </c>
      <c r="AH73">
        <f t="shared" si="33"/>
        <v>0.1232</v>
      </c>
      <c r="AI73">
        <f t="shared" si="33"/>
        <v>0.1232</v>
      </c>
      <c r="AJ73">
        <f t="shared" si="33"/>
        <v>0.1235</v>
      </c>
      <c r="AK73">
        <f t="shared" si="33"/>
        <v>0.12230000000000001</v>
      </c>
      <c r="AL73">
        <f t="shared" si="33"/>
        <v>0.1212</v>
      </c>
      <c r="AM73">
        <f t="shared" si="33"/>
        <v>0.12180000000000001</v>
      </c>
      <c r="AN73">
        <f t="shared" si="33"/>
        <v>0.1195</v>
      </c>
      <c r="AO73">
        <f t="shared" si="33"/>
        <v>0.1169</v>
      </c>
      <c r="AP73">
        <f t="shared" si="33"/>
        <v>0.1139</v>
      </c>
      <c r="AQ73">
        <f t="shared" si="33"/>
        <v>0.1055</v>
      </c>
      <c r="AR73">
        <f t="shared" si="33"/>
        <v>9.5500000000000002E-2</v>
      </c>
      <c r="AS73">
        <f t="shared" si="33"/>
        <v>8.4699999999999998E-2</v>
      </c>
      <c r="AT73">
        <f t="shared" si="33"/>
        <v>7.4399999999999994E-2</v>
      </c>
      <c r="AU73">
        <f t="shared" si="33"/>
        <v>7.4200000000000002E-2</v>
      </c>
      <c r="AV73">
        <f t="shared" si="33"/>
        <v>7.6200000000000004E-2</v>
      </c>
      <c r="AW73">
        <f t="shared" si="33"/>
        <v>7.7499999999999999E-2</v>
      </c>
      <c r="AX73">
        <f t="shared" si="33"/>
        <v>8.2100000000000006E-2</v>
      </c>
      <c r="AY73">
        <f t="shared" si="33"/>
        <v>8.8400000000000006E-2</v>
      </c>
      <c r="AZ73">
        <f t="shared" si="33"/>
        <v>9.1899999999999996E-2</v>
      </c>
      <c r="BA73">
        <f t="shared" si="33"/>
        <v>7.9000000000000001E-2</v>
      </c>
      <c r="BD73" t="s">
        <v>37</v>
      </c>
      <c r="BE73">
        <v>0.2</v>
      </c>
    </row>
    <row r="74" spans="1:59" x14ac:dyDescent="0.3">
      <c r="A74" t="s">
        <v>35</v>
      </c>
      <c r="B74">
        <f t="shared" ref="B74:BA74" si="34">+ABS(B36)</f>
        <v>5.2299999999999999E-2</v>
      </c>
      <c r="C74">
        <f t="shared" si="34"/>
        <v>5.2299999999999999E-2</v>
      </c>
      <c r="D74">
        <f t="shared" si="34"/>
        <v>5.16E-2</v>
      </c>
      <c r="E74">
        <f t="shared" si="34"/>
        <v>5.1499999999999997E-2</v>
      </c>
      <c r="F74">
        <f t="shared" si="34"/>
        <v>3.2800000000000003E-2</v>
      </c>
      <c r="G74">
        <f t="shared" si="34"/>
        <v>3.2599999999999997E-2</v>
      </c>
      <c r="H74">
        <f t="shared" si="34"/>
        <v>3.1199999999999999E-2</v>
      </c>
      <c r="I74">
        <f t="shared" si="34"/>
        <v>3.0200000000000001E-2</v>
      </c>
      <c r="J74">
        <f t="shared" si="34"/>
        <v>2.98E-2</v>
      </c>
      <c r="K74">
        <f t="shared" si="34"/>
        <v>2.9000000000000001E-2</v>
      </c>
      <c r="L74">
        <f t="shared" si="34"/>
        <v>2.93E-2</v>
      </c>
      <c r="M74">
        <f t="shared" si="34"/>
        <v>2.87E-2</v>
      </c>
      <c r="N74">
        <f t="shared" si="34"/>
        <v>2.9100000000000001E-2</v>
      </c>
      <c r="O74">
        <f t="shared" si="34"/>
        <v>2.92E-2</v>
      </c>
      <c r="P74">
        <f t="shared" si="34"/>
        <v>3.09E-2</v>
      </c>
      <c r="Q74">
        <f t="shared" si="34"/>
        <v>3.1300000000000001E-2</v>
      </c>
      <c r="R74">
        <f t="shared" si="34"/>
        <v>3.2199999999999999E-2</v>
      </c>
      <c r="S74">
        <f t="shared" si="34"/>
        <v>3.2399999999999998E-2</v>
      </c>
      <c r="T74">
        <f t="shared" si="34"/>
        <v>3.2199999999999999E-2</v>
      </c>
      <c r="U74">
        <f t="shared" si="34"/>
        <v>3.1099999999999999E-2</v>
      </c>
      <c r="V74">
        <f t="shared" si="34"/>
        <v>3.1300000000000001E-2</v>
      </c>
      <c r="W74">
        <f t="shared" si="34"/>
        <v>3.0499999999999999E-2</v>
      </c>
      <c r="X74">
        <f t="shared" si="34"/>
        <v>3.0700000000000002E-2</v>
      </c>
      <c r="Y74">
        <f t="shared" si="34"/>
        <v>2.9600000000000001E-2</v>
      </c>
      <c r="Z74">
        <f t="shared" si="34"/>
        <v>2.92E-2</v>
      </c>
      <c r="AA74">
        <f t="shared" si="34"/>
        <v>2.9000000000000001E-2</v>
      </c>
      <c r="AB74">
        <f t="shared" si="34"/>
        <v>2.8400000000000002E-2</v>
      </c>
      <c r="AC74">
        <f t="shared" si="34"/>
        <v>2.8199999999999999E-2</v>
      </c>
      <c r="AD74">
        <f t="shared" si="34"/>
        <v>6.4100000000000004E-2</v>
      </c>
      <c r="AE74">
        <f t="shared" si="34"/>
        <v>7.46E-2</v>
      </c>
      <c r="AF74">
        <f t="shared" si="34"/>
        <v>7.6600000000000001E-2</v>
      </c>
      <c r="AG74">
        <f t="shared" si="34"/>
        <v>7.7499999999999999E-2</v>
      </c>
      <c r="AH74">
        <f t="shared" si="34"/>
        <v>7.8200000000000006E-2</v>
      </c>
      <c r="AI74">
        <f t="shared" si="34"/>
        <v>7.8799999999999995E-2</v>
      </c>
      <c r="AJ74">
        <f t="shared" si="34"/>
        <v>7.9200000000000007E-2</v>
      </c>
      <c r="AK74">
        <f t="shared" si="34"/>
        <v>7.85E-2</v>
      </c>
      <c r="AL74">
        <f t="shared" si="34"/>
        <v>7.8700000000000006E-2</v>
      </c>
      <c r="AM74">
        <f t="shared" si="34"/>
        <v>7.9500000000000001E-2</v>
      </c>
      <c r="AN74">
        <f t="shared" si="34"/>
        <v>7.9299999999999995E-2</v>
      </c>
      <c r="AO74">
        <f t="shared" si="34"/>
        <v>7.9100000000000004E-2</v>
      </c>
      <c r="AP74">
        <f t="shared" si="34"/>
        <v>7.8100000000000003E-2</v>
      </c>
      <c r="AQ74">
        <f t="shared" si="34"/>
        <v>7.5700000000000003E-2</v>
      </c>
      <c r="AR74">
        <f t="shared" si="34"/>
        <v>7.2900000000000006E-2</v>
      </c>
      <c r="AS74">
        <f t="shared" si="34"/>
        <v>6.8199999999999997E-2</v>
      </c>
      <c r="AT74">
        <f t="shared" si="34"/>
        <v>5.3E-3</v>
      </c>
      <c r="AU74">
        <f t="shared" si="34"/>
        <v>1.06E-2</v>
      </c>
      <c r="AV74">
        <f t="shared" si="34"/>
        <v>1.4999999999999999E-2</v>
      </c>
      <c r="AW74">
        <f t="shared" si="34"/>
        <v>1.84E-2</v>
      </c>
      <c r="AX74">
        <f t="shared" si="34"/>
        <v>1.77E-2</v>
      </c>
      <c r="AY74">
        <f t="shared" si="34"/>
        <v>1.29E-2</v>
      </c>
      <c r="AZ74">
        <f t="shared" si="34"/>
        <v>1.21E-2</v>
      </c>
      <c r="BA74">
        <f t="shared" si="34"/>
        <v>9.0899999999999995E-2</v>
      </c>
    </row>
    <row r="75" spans="1:59" x14ac:dyDescent="0.3">
      <c r="A75" t="s">
        <v>36</v>
      </c>
      <c r="B75">
        <f t="shared" ref="B75:BA75" si="35">+ABS(B37)</f>
        <v>9.2999999999999992E-3</v>
      </c>
      <c r="C75">
        <f t="shared" si="35"/>
        <v>9.2999999999999992E-3</v>
      </c>
      <c r="D75">
        <f t="shared" si="35"/>
        <v>9.7999999999999997E-3</v>
      </c>
      <c r="E75">
        <f t="shared" si="35"/>
        <v>1.1599999999999999E-2</v>
      </c>
      <c r="F75">
        <f t="shared" si="35"/>
        <v>1.7399999999999999E-2</v>
      </c>
      <c r="G75">
        <f t="shared" si="35"/>
        <v>1.8800000000000001E-2</v>
      </c>
      <c r="H75">
        <f t="shared" si="35"/>
        <v>2.0199999999999999E-2</v>
      </c>
      <c r="I75">
        <f t="shared" si="35"/>
        <v>2.2200000000000001E-2</v>
      </c>
      <c r="J75">
        <f t="shared" si="35"/>
        <v>2.4E-2</v>
      </c>
      <c r="K75">
        <f t="shared" si="35"/>
        <v>2.5399999999999999E-2</v>
      </c>
      <c r="L75">
        <f t="shared" si="35"/>
        <v>3.1399999999999997E-2</v>
      </c>
      <c r="M75">
        <f t="shared" si="35"/>
        <v>3.3300000000000003E-2</v>
      </c>
      <c r="N75">
        <f t="shared" si="35"/>
        <v>3.6200000000000003E-2</v>
      </c>
      <c r="O75">
        <f t="shared" si="35"/>
        <v>3.7900000000000003E-2</v>
      </c>
      <c r="P75">
        <f t="shared" si="35"/>
        <v>3.7600000000000001E-2</v>
      </c>
      <c r="Q75">
        <f t="shared" si="35"/>
        <v>3.8399999999999997E-2</v>
      </c>
      <c r="R75">
        <f t="shared" si="35"/>
        <v>3.78E-2</v>
      </c>
      <c r="S75">
        <f t="shared" si="35"/>
        <v>3.7600000000000001E-2</v>
      </c>
      <c r="T75">
        <f t="shared" si="35"/>
        <v>3.7499999999999999E-2</v>
      </c>
      <c r="U75">
        <f t="shared" si="35"/>
        <v>3.7199999999999997E-2</v>
      </c>
      <c r="V75">
        <f t="shared" si="35"/>
        <v>3.7199999999999997E-2</v>
      </c>
      <c r="W75">
        <f t="shared" si="35"/>
        <v>3.7100000000000001E-2</v>
      </c>
      <c r="X75">
        <f t="shared" si="35"/>
        <v>3.73E-2</v>
      </c>
      <c r="Y75">
        <f t="shared" si="35"/>
        <v>3.7100000000000001E-2</v>
      </c>
      <c r="Z75">
        <f t="shared" si="35"/>
        <v>3.6999999999999998E-2</v>
      </c>
      <c r="AA75">
        <f t="shared" si="35"/>
        <v>3.6299999999999999E-2</v>
      </c>
      <c r="AB75">
        <f t="shared" si="35"/>
        <v>3.5000000000000003E-2</v>
      </c>
      <c r="AC75">
        <f t="shared" si="35"/>
        <v>3.4200000000000001E-2</v>
      </c>
      <c r="AD75">
        <f t="shared" si="35"/>
        <v>2.2599999999999999E-2</v>
      </c>
      <c r="AE75">
        <f t="shared" si="35"/>
        <v>3.15E-2</v>
      </c>
      <c r="AF75">
        <f t="shared" si="35"/>
        <v>3.0499999999999999E-2</v>
      </c>
      <c r="AG75">
        <f t="shared" si="35"/>
        <v>2.8199999999999999E-2</v>
      </c>
      <c r="AH75">
        <f t="shared" si="35"/>
        <v>2.6700000000000002E-2</v>
      </c>
      <c r="AI75">
        <f t="shared" si="35"/>
        <v>2.5999999999999999E-2</v>
      </c>
      <c r="AJ75">
        <f t="shared" si="35"/>
        <v>2.5100000000000001E-2</v>
      </c>
      <c r="AK75">
        <f t="shared" si="35"/>
        <v>2.29E-2</v>
      </c>
      <c r="AL75">
        <f t="shared" si="35"/>
        <v>2.12E-2</v>
      </c>
      <c r="AM75">
        <f t="shared" si="35"/>
        <v>1.9800000000000002E-2</v>
      </c>
      <c r="AN75">
        <f t="shared" si="35"/>
        <v>1.78E-2</v>
      </c>
      <c r="AO75">
        <f t="shared" si="35"/>
        <v>1.7399999999999999E-2</v>
      </c>
      <c r="AP75">
        <f t="shared" si="35"/>
        <v>1.83E-2</v>
      </c>
      <c r="AQ75">
        <f t="shared" si="35"/>
        <v>2.1299999999999999E-2</v>
      </c>
      <c r="AR75">
        <f t="shared" si="35"/>
        <v>2.6200000000000001E-2</v>
      </c>
      <c r="AS75">
        <f t="shared" si="35"/>
        <v>3.3300000000000003E-2</v>
      </c>
      <c r="AT75">
        <f t="shared" si="35"/>
        <v>4.8999999999999998E-3</v>
      </c>
      <c r="AU75">
        <f t="shared" si="35"/>
        <v>3.3E-3</v>
      </c>
      <c r="AV75">
        <f t="shared" si="35"/>
        <v>2.0999999999999999E-3</v>
      </c>
      <c r="AW75">
        <f t="shared" si="35"/>
        <v>2.3999999999999998E-3</v>
      </c>
      <c r="AX75">
        <f t="shared" si="35"/>
        <v>5.7000000000000002E-3</v>
      </c>
      <c r="AY75">
        <f t="shared" si="35"/>
        <v>7.6E-3</v>
      </c>
      <c r="AZ75">
        <f t="shared" si="35"/>
        <v>9.1000000000000004E-3</v>
      </c>
      <c r="BA75">
        <f t="shared" si="35"/>
        <v>1.8E-3</v>
      </c>
    </row>
    <row r="77" spans="1:59" x14ac:dyDescent="0.3">
      <c r="A77" t="s">
        <v>0</v>
      </c>
      <c r="B77">
        <v>0</v>
      </c>
      <c r="C77">
        <v>0.34560000000000002</v>
      </c>
      <c r="D77">
        <v>1.0367999999999999</v>
      </c>
      <c r="E77">
        <v>1.728</v>
      </c>
      <c r="F77">
        <v>2.4192</v>
      </c>
      <c r="G77">
        <v>3.1103999999999998</v>
      </c>
      <c r="H77">
        <v>3.8016000000000001</v>
      </c>
      <c r="I77">
        <v>4.4927999999999999</v>
      </c>
      <c r="J77">
        <v>5.1840000000000002</v>
      </c>
      <c r="K77">
        <v>5.8752000000000004</v>
      </c>
      <c r="L77">
        <v>6.5663999999999998</v>
      </c>
      <c r="M77">
        <v>7.2576000000000001</v>
      </c>
      <c r="N77">
        <v>7.9488000000000003</v>
      </c>
      <c r="O77">
        <v>8.64</v>
      </c>
      <c r="P77">
        <v>9.3312000000000008</v>
      </c>
      <c r="Q77">
        <v>10.022399999999999</v>
      </c>
      <c r="R77">
        <v>10.7136</v>
      </c>
      <c r="S77">
        <v>11.4048</v>
      </c>
      <c r="T77">
        <v>12.096</v>
      </c>
      <c r="U77">
        <v>12.7872</v>
      </c>
      <c r="V77">
        <v>13.478400000000001</v>
      </c>
      <c r="W77">
        <v>14.169600000000001</v>
      </c>
      <c r="X77">
        <v>14.860799999999999</v>
      </c>
      <c r="Y77">
        <v>15.552</v>
      </c>
      <c r="Z77">
        <v>16.243200000000002</v>
      </c>
      <c r="AA77">
        <v>16.9344</v>
      </c>
      <c r="AB77">
        <v>17.625599999999999</v>
      </c>
      <c r="AC77">
        <v>18.316800000000001</v>
      </c>
      <c r="AD77">
        <v>19.007999999999999</v>
      </c>
      <c r="AE77">
        <v>19.699200000000001</v>
      </c>
      <c r="AF77">
        <v>20.3904</v>
      </c>
      <c r="AG77">
        <v>21.081600000000002</v>
      </c>
      <c r="AH77">
        <v>21.7728</v>
      </c>
      <c r="AI77">
        <v>22.463999999999999</v>
      </c>
      <c r="AJ77">
        <v>23.155200000000001</v>
      </c>
      <c r="AK77">
        <v>23.846399999999999</v>
      </c>
      <c r="AL77">
        <v>24.537600000000001</v>
      </c>
      <c r="AM77">
        <v>25.2288</v>
      </c>
      <c r="AN77">
        <v>25.92</v>
      </c>
      <c r="AO77">
        <v>26.6112</v>
      </c>
      <c r="AP77">
        <v>27.302399999999999</v>
      </c>
      <c r="AQ77">
        <v>27.993600000000001</v>
      </c>
      <c r="AR77">
        <v>28.684799999999999</v>
      </c>
      <c r="AS77">
        <v>29.376000000000001</v>
      </c>
      <c r="AT77">
        <v>30.0672</v>
      </c>
      <c r="AU77">
        <v>30.758400000000002</v>
      </c>
      <c r="AV77">
        <v>31.4496</v>
      </c>
      <c r="AW77">
        <v>32.140799999999999</v>
      </c>
      <c r="AX77">
        <v>32.832000000000001</v>
      </c>
      <c r="AY77">
        <v>33.523200000000003</v>
      </c>
      <c r="AZ77">
        <v>34.214399999999998</v>
      </c>
      <c r="BA77">
        <v>34.56</v>
      </c>
      <c r="BC77" t="s">
        <v>0</v>
      </c>
    </row>
    <row r="78" spans="1:59" x14ac:dyDescent="0.3">
      <c r="A78" t="s">
        <v>1</v>
      </c>
      <c r="B78">
        <f>+IF(B40&gt;=$BE$73,1,0)</f>
        <v>1</v>
      </c>
      <c r="C78">
        <f t="shared" ref="C78:BA78" si="36">+IF(C40&gt;=$BE$73,1,0)</f>
        <v>1</v>
      </c>
      <c r="D78">
        <f t="shared" si="36"/>
        <v>1</v>
      </c>
      <c r="E78">
        <f t="shared" si="36"/>
        <v>0</v>
      </c>
      <c r="F78">
        <f t="shared" si="36"/>
        <v>1</v>
      </c>
      <c r="G78">
        <f t="shared" si="36"/>
        <v>0</v>
      </c>
      <c r="H78">
        <f t="shared" si="36"/>
        <v>0</v>
      </c>
      <c r="I78">
        <f t="shared" si="36"/>
        <v>0</v>
      </c>
      <c r="J78">
        <f t="shared" si="36"/>
        <v>0</v>
      </c>
      <c r="K78">
        <f t="shared" si="36"/>
        <v>0</v>
      </c>
      <c r="L78">
        <f t="shared" si="36"/>
        <v>0</v>
      </c>
      <c r="M78">
        <f t="shared" si="36"/>
        <v>0</v>
      </c>
      <c r="N78">
        <f t="shared" si="36"/>
        <v>0</v>
      </c>
      <c r="O78">
        <f t="shared" si="36"/>
        <v>0</v>
      </c>
      <c r="P78">
        <f t="shared" si="36"/>
        <v>0</v>
      </c>
      <c r="Q78">
        <f t="shared" si="36"/>
        <v>0</v>
      </c>
      <c r="R78">
        <f t="shared" si="36"/>
        <v>0</v>
      </c>
      <c r="S78">
        <f t="shared" si="36"/>
        <v>0</v>
      </c>
      <c r="T78">
        <f t="shared" si="36"/>
        <v>0</v>
      </c>
      <c r="U78">
        <f t="shared" si="36"/>
        <v>0</v>
      </c>
      <c r="V78">
        <f t="shared" si="36"/>
        <v>0</v>
      </c>
      <c r="W78">
        <f t="shared" si="36"/>
        <v>0</v>
      </c>
      <c r="X78">
        <f t="shared" si="36"/>
        <v>0</v>
      </c>
      <c r="Y78">
        <f t="shared" si="36"/>
        <v>0</v>
      </c>
      <c r="Z78">
        <f t="shared" si="36"/>
        <v>0</v>
      </c>
      <c r="AA78">
        <f t="shared" si="36"/>
        <v>0</v>
      </c>
      <c r="AB78">
        <f t="shared" si="36"/>
        <v>0</v>
      </c>
      <c r="AC78">
        <f t="shared" si="36"/>
        <v>0</v>
      </c>
      <c r="AD78">
        <f t="shared" si="36"/>
        <v>0</v>
      </c>
      <c r="AE78">
        <f t="shared" si="36"/>
        <v>1</v>
      </c>
      <c r="AF78">
        <f t="shared" si="36"/>
        <v>1</v>
      </c>
      <c r="AG78">
        <f t="shared" si="36"/>
        <v>1</v>
      </c>
      <c r="AH78">
        <f t="shared" si="36"/>
        <v>1</v>
      </c>
      <c r="AI78">
        <f t="shared" si="36"/>
        <v>1</v>
      </c>
      <c r="AJ78">
        <f t="shared" si="36"/>
        <v>1</v>
      </c>
      <c r="AK78">
        <f t="shared" si="36"/>
        <v>1</v>
      </c>
      <c r="AL78">
        <f t="shared" si="36"/>
        <v>1</v>
      </c>
      <c r="AM78">
        <f t="shared" si="36"/>
        <v>1</v>
      </c>
      <c r="AN78">
        <f t="shared" si="36"/>
        <v>1</v>
      </c>
      <c r="AO78">
        <f t="shared" si="36"/>
        <v>1</v>
      </c>
      <c r="AP78">
        <f t="shared" si="36"/>
        <v>1</v>
      </c>
      <c r="AQ78">
        <f t="shared" si="36"/>
        <v>1</v>
      </c>
      <c r="AR78">
        <f t="shared" si="36"/>
        <v>1</v>
      </c>
      <c r="AS78">
        <f t="shared" si="36"/>
        <v>0</v>
      </c>
      <c r="AT78">
        <f t="shared" si="36"/>
        <v>1</v>
      </c>
      <c r="AU78">
        <f t="shared" si="36"/>
        <v>1</v>
      </c>
      <c r="AV78">
        <f t="shared" si="36"/>
        <v>1</v>
      </c>
      <c r="AW78">
        <f t="shared" si="36"/>
        <v>1</v>
      </c>
      <c r="AX78">
        <f t="shared" si="36"/>
        <v>1</v>
      </c>
      <c r="AY78">
        <f t="shared" si="36"/>
        <v>1</v>
      </c>
      <c r="AZ78">
        <f t="shared" si="36"/>
        <v>1</v>
      </c>
      <c r="BA78">
        <f>+IF(BA40&gt;=$BE$73,1,0)</f>
        <v>0</v>
      </c>
      <c r="BC78" t="s">
        <v>1</v>
      </c>
      <c r="BD78">
        <f>+SUM(B78:BA78)</f>
        <v>25</v>
      </c>
      <c r="BE78">
        <f>+IF(BD78&gt;=1,1,0)</f>
        <v>1</v>
      </c>
      <c r="BG78">
        <f>+SUM(BE78:BE113)</f>
        <v>15</v>
      </c>
    </row>
    <row r="79" spans="1:59" x14ac:dyDescent="0.3">
      <c r="A79" t="s">
        <v>2</v>
      </c>
      <c r="B79">
        <f t="shared" ref="B79:BA79" si="37">+IF(B41&gt;=$BE$73,1,0)</f>
        <v>0</v>
      </c>
      <c r="C79">
        <f t="shared" si="37"/>
        <v>0</v>
      </c>
      <c r="D79">
        <f t="shared" si="37"/>
        <v>0</v>
      </c>
      <c r="E79">
        <f t="shared" si="37"/>
        <v>0</v>
      </c>
      <c r="F79">
        <f t="shared" si="37"/>
        <v>0</v>
      </c>
      <c r="G79">
        <f t="shared" si="37"/>
        <v>0</v>
      </c>
      <c r="H79">
        <f t="shared" si="37"/>
        <v>0</v>
      </c>
      <c r="I79">
        <f t="shared" si="37"/>
        <v>0</v>
      </c>
      <c r="J79">
        <f t="shared" si="37"/>
        <v>0</v>
      </c>
      <c r="K79">
        <f t="shared" si="37"/>
        <v>0</v>
      </c>
      <c r="L79">
        <f t="shared" si="37"/>
        <v>0</v>
      </c>
      <c r="M79">
        <f t="shared" si="37"/>
        <v>0</v>
      </c>
      <c r="N79">
        <f t="shared" si="37"/>
        <v>0</v>
      </c>
      <c r="O79">
        <f t="shared" si="37"/>
        <v>0</v>
      </c>
      <c r="P79">
        <f t="shared" si="37"/>
        <v>0</v>
      </c>
      <c r="Q79">
        <f t="shared" si="37"/>
        <v>0</v>
      </c>
      <c r="R79">
        <f t="shared" si="37"/>
        <v>0</v>
      </c>
      <c r="S79">
        <f t="shared" si="37"/>
        <v>0</v>
      </c>
      <c r="T79">
        <f t="shared" si="37"/>
        <v>0</v>
      </c>
      <c r="U79">
        <f t="shared" si="37"/>
        <v>0</v>
      </c>
      <c r="V79">
        <f t="shared" si="37"/>
        <v>0</v>
      </c>
      <c r="W79">
        <f t="shared" si="37"/>
        <v>0</v>
      </c>
      <c r="X79">
        <f t="shared" si="37"/>
        <v>0</v>
      </c>
      <c r="Y79">
        <f t="shared" si="37"/>
        <v>0</v>
      </c>
      <c r="Z79">
        <f t="shared" si="37"/>
        <v>0</v>
      </c>
      <c r="AA79">
        <f t="shared" si="37"/>
        <v>0</v>
      </c>
      <c r="AB79">
        <f t="shared" si="37"/>
        <v>0</v>
      </c>
      <c r="AC79">
        <f t="shared" si="37"/>
        <v>0</v>
      </c>
      <c r="AD79">
        <f t="shared" si="37"/>
        <v>0</v>
      </c>
      <c r="AE79">
        <f t="shared" si="37"/>
        <v>0</v>
      </c>
      <c r="AF79">
        <f t="shared" si="37"/>
        <v>0</v>
      </c>
      <c r="AG79">
        <f t="shared" si="37"/>
        <v>0</v>
      </c>
      <c r="AH79">
        <f t="shared" si="37"/>
        <v>0</v>
      </c>
      <c r="AI79">
        <f t="shared" si="37"/>
        <v>0</v>
      </c>
      <c r="AJ79">
        <f t="shared" si="37"/>
        <v>0</v>
      </c>
      <c r="AK79">
        <f t="shared" si="37"/>
        <v>0</v>
      </c>
      <c r="AL79">
        <f t="shared" si="37"/>
        <v>0</v>
      </c>
      <c r="AM79">
        <f t="shared" si="37"/>
        <v>0</v>
      </c>
      <c r="AN79">
        <f t="shared" si="37"/>
        <v>0</v>
      </c>
      <c r="AO79">
        <f t="shared" si="37"/>
        <v>0</v>
      </c>
      <c r="AP79">
        <f t="shared" si="37"/>
        <v>0</v>
      </c>
      <c r="AQ79">
        <f t="shared" si="37"/>
        <v>0</v>
      </c>
      <c r="AR79">
        <f t="shared" si="37"/>
        <v>0</v>
      </c>
      <c r="AS79">
        <f t="shared" si="37"/>
        <v>0</v>
      </c>
      <c r="AT79">
        <f t="shared" si="37"/>
        <v>1</v>
      </c>
      <c r="AU79">
        <f t="shared" si="37"/>
        <v>1</v>
      </c>
      <c r="AV79">
        <f t="shared" si="37"/>
        <v>1</v>
      </c>
      <c r="AW79">
        <f t="shared" si="37"/>
        <v>1</v>
      </c>
      <c r="AX79">
        <f t="shared" si="37"/>
        <v>1</v>
      </c>
      <c r="AY79">
        <f t="shared" si="37"/>
        <v>1</v>
      </c>
      <c r="AZ79">
        <f t="shared" si="37"/>
        <v>0</v>
      </c>
      <c r="BA79">
        <f t="shared" si="37"/>
        <v>0</v>
      </c>
      <c r="BC79" t="s">
        <v>2</v>
      </c>
      <c r="BD79">
        <f t="shared" ref="BD79:BD113" si="38">+SUM(B79:BA79)</f>
        <v>6</v>
      </c>
      <c r="BE79">
        <f t="shared" ref="BE79:BE113" si="39">+IF(BD79&gt;=1,1,0)</f>
        <v>1</v>
      </c>
    </row>
    <row r="80" spans="1:59" x14ac:dyDescent="0.3">
      <c r="A80" t="s">
        <v>3</v>
      </c>
      <c r="B80">
        <f t="shared" ref="B80:BA80" si="40">+IF(B42&gt;=$BE$73,1,0)</f>
        <v>0</v>
      </c>
      <c r="C80">
        <f t="shared" si="40"/>
        <v>0</v>
      </c>
      <c r="D80">
        <f t="shared" si="40"/>
        <v>0</v>
      </c>
      <c r="E80">
        <f t="shared" si="40"/>
        <v>0</v>
      </c>
      <c r="F80">
        <f t="shared" si="40"/>
        <v>0</v>
      </c>
      <c r="G80">
        <f t="shared" si="40"/>
        <v>0</v>
      </c>
      <c r="H80">
        <f t="shared" si="40"/>
        <v>0</v>
      </c>
      <c r="I80">
        <f t="shared" si="40"/>
        <v>0</v>
      </c>
      <c r="J80">
        <f t="shared" si="40"/>
        <v>0</v>
      </c>
      <c r="K80">
        <f t="shared" si="40"/>
        <v>0</v>
      </c>
      <c r="L80">
        <f t="shared" si="40"/>
        <v>0</v>
      </c>
      <c r="M80">
        <f t="shared" si="40"/>
        <v>0</v>
      </c>
      <c r="N80">
        <f t="shared" si="40"/>
        <v>0</v>
      </c>
      <c r="O80">
        <f t="shared" si="40"/>
        <v>0</v>
      </c>
      <c r="P80">
        <f t="shared" si="40"/>
        <v>0</v>
      </c>
      <c r="Q80">
        <f t="shared" si="40"/>
        <v>0</v>
      </c>
      <c r="R80">
        <f t="shared" si="40"/>
        <v>0</v>
      </c>
      <c r="S80">
        <f t="shared" si="40"/>
        <v>0</v>
      </c>
      <c r="T80">
        <f t="shared" si="40"/>
        <v>0</v>
      </c>
      <c r="U80">
        <f t="shared" si="40"/>
        <v>0</v>
      </c>
      <c r="V80">
        <f t="shared" si="40"/>
        <v>0</v>
      </c>
      <c r="W80">
        <f t="shared" si="40"/>
        <v>0</v>
      </c>
      <c r="X80">
        <f t="shared" si="40"/>
        <v>0</v>
      </c>
      <c r="Y80">
        <f t="shared" si="40"/>
        <v>0</v>
      </c>
      <c r="Z80">
        <f t="shared" si="40"/>
        <v>0</v>
      </c>
      <c r="AA80">
        <f t="shared" si="40"/>
        <v>0</v>
      </c>
      <c r="AB80">
        <f t="shared" si="40"/>
        <v>0</v>
      </c>
      <c r="AC80">
        <f t="shared" si="40"/>
        <v>0</v>
      </c>
      <c r="AD80">
        <f t="shared" si="40"/>
        <v>0</v>
      </c>
      <c r="AE80">
        <f t="shared" si="40"/>
        <v>0</v>
      </c>
      <c r="AF80">
        <f t="shared" si="40"/>
        <v>0</v>
      </c>
      <c r="AG80">
        <f t="shared" si="40"/>
        <v>0</v>
      </c>
      <c r="AH80">
        <f t="shared" si="40"/>
        <v>0</v>
      </c>
      <c r="AI80">
        <f t="shared" si="40"/>
        <v>0</v>
      </c>
      <c r="AJ80">
        <f t="shared" si="40"/>
        <v>0</v>
      </c>
      <c r="AK80">
        <f t="shared" si="40"/>
        <v>0</v>
      </c>
      <c r="AL80">
        <f t="shared" si="40"/>
        <v>0</v>
      </c>
      <c r="AM80">
        <f t="shared" si="40"/>
        <v>0</v>
      </c>
      <c r="AN80">
        <f t="shared" si="40"/>
        <v>0</v>
      </c>
      <c r="AO80">
        <f t="shared" si="40"/>
        <v>0</v>
      </c>
      <c r="AP80">
        <f t="shared" si="40"/>
        <v>0</v>
      </c>
      <c r="AQ80">
        <f t="shared" si="40"/>
        <v>0</v>
      </c>
      <c r="AR80">
        <f t="shared" si="40"/>
        <v>0</v>
      </c>
      <c r="AS80">
        <f t="shared" si="40"/>
        <v>0</v>
      </c>
      <c r="AT80">
        <f t="shared" si="40"/>
        <v>0</v>
      </c>
      <c r="AU80">
        <f t="shared" si="40"/>
        <v>0</v>
      </c>
      <c r="AV80">
        <f t="shared" si="40"/>
        <v>0</v>
      </c>
      <c r="AW80">
        <f t="shared" si="40"/>
        <v>0</v>
      </c>
      <c r="AX80">
        <f t="shared" si="40"/>
        <v>0</v>
      </c>
      <c r="AY80">
        <f t="shared" si="40"/>
        <v>0</v>
      </c>
      <c r="AZ80">
        <f t="shared" si="40"/>
        <v>0</v>
      </c>
      <c r="BA80">
        <f t="shared" si="40"/>
        <v>0</v>
      </c>
      <c r="BC80" t="s">
        <v>3</v>
      </c>
      <c r="BD80">
        <f t="shared" si="38"/>
        <v>0</v>
      </c>
      <c r="BE80">
        <f t="shared" si="39"/>
        <v>0</v>
      </c>
    </row>
    <row r="81" spans="1:57" x14ac:dyDescent="0.3">
      <c r="A81" t="s">
        <v>4</v>
      </c>
      <c r="B81">
        <f t="shared" ref="B81:BA81" si="41">+IF(B43&gt;=$BE$73,1,0)</f>
        <v>0</v>
      </c>
      <c r="C81">
        <f t="shared" si="41"/>
        <v>0</v>
      </c>
      <c r="D81">
        <f t="shared" si="41"/>
        <v>0</v>
      </c>
      <c r="E81">
        <f t="shared" si="41"/>
        <v>0</v>
      </c>
      <c r="F81">
        <f t="shared" si="41"/>
        <v>0</v>
      </c>
      <c r="G81">
        <f t="shared" si="41"/>
        <v>0</v>
      </c>
      <c r="H81">
        <f t="shared" si="41"/>
        <v>0</v>
      </c>
      <c r="I81">
        <f t="shared" si="41"/>
        <v>0</v>
      </c>
      <c r="J81">
        <f t="shared" si="41"/>
        <v>0</v>
      </c>
      <c r="K81">
        <f t="shared" si="41"/>
        <v>0</v>
      </c>
      <c r="L81">
        <f t="shared" si="41"/>
        <v>0</v>
      </c>
      <c r="M81">
        <f t="shared" si="41"/>
        <v>0</v>
      </c>
      <c r="N81">
        <f t="shared" si="41"/>
        <v>0</v>
      </c>
      <c r="O81">
        <f t="shared" si="41"/>
        <v>0</v>
      </c>
      <c r="P81">
        <f t="shared" si="41"/>
        <v>0</v>
      </c>
      <c r="Q81">
        <f t="shared" si="41"/>
        <v>0</v>
      </c>
      <c r="R81">
        <f t="shared" si="41"/>
        <v>0</v>
      </c>
      <c r="S81">
        <f t="shared" si="41"/>
        <v>0</v>
      </c>
      <c r="T81">
        <f t="shared" si="41"/>
        <v>0</v>
      </c>
      <c r="U81">
        <f t="shared" si="41"/>
        <v>0</v>
      </c>
      <c r="V81">
        <f t="shared" si="41"/>
        <v>0</v>
      </c>
      <c r="W81">
        <f t="shared" si="41"/>
        <v>0</v>
      </c>
      <c r="X81">
        <f t="shared" si="41"/>
        <v>0</v>
      </c>
      <c r="Y81">
        <f t="shared" si="41"/>
        <v>0</v>
      </c>
      <c r="Z81">
        <f t="shared" si="41"/>
        <v>0</v>
      </c>
      <c r="AA81">
        <f t="shared" si="41"/>
        <v>0</v>
      </c>
      <c r="AB81">
        <f t="shared" si="41"/>
        <v>0</v>
      </c>
      <c r="AC81">
        <f t="shared" si="41"/>
        <v>0</v>
      </c>
      <c r="AD81">
        <f t="shared" si="41"/>
        <v>0</v>
      </c>
      <c r="AE81">
        <f t="shared" si="41"/>
        <v>0</v>
      </c>
      <c r="AF81">
        <f t="shared" si="41"/>
        <v>0</v>
      </c>
      <c r="AG81">
        <f t="shared" si="41"/>
        <v>0</v>
      </c>
      <c r="AH81">
        <f t="shared" si="41"/>
        <v>0</v>
      </c>
      <c r="AI81">
        <f t="shared" si="41"/>
        <v>0</v>
      </c>
      <c r="AJ81">
        <f t="shared" si="41"/>
        <v>0</v>
      </c>
      <c r="AK81">
        <f t="shared" si="41"/>
        <v>0</v>
      </c>
      <c r="AL81">
        <f t="shared" si="41"/>
        <v>0</v>
      </c>
      <c r="AM81">
        <f t="shared" si="41"/>
        <v>0</v>
      </c>
      <c r="AN81">
        <f t="shared" si="41"/>
        <v>0</v>
      </c>
      <c r="AO81">
        <f t="shared" si="41"/>
        <v>0</v>
      </c>
      <c r="AP81">
        <f t="shared" si="41"/>
        <v>0</v>
      </c>
      <c r="AQ81">
        <f t="shared" si="41"/>
        <v>0</v>
      </c>
      <c r="AR81">
        <f t="shared" si="41"/>
        <v>0</v>
      </c>
      <c r="AS81">
        <f t="shared" si="41"/>
        <v>0</v>
      </c>
      <c r="AT81">
        <f t="shared" si="41"/>
        <v>0</v>
      </c>
      <c r="AU81">
        <f t="shared" si="41"/>
        <v>0</v>
      </c>
      <c r="AV81">
        <f t="shared" si="41"/>
        <v>0</v>
      </c>
      <c r="AW81">
        <f t="shared" si="41"/>
        <v>0</v>
      </c>
      <c r="AX81">
        <f t="shared" si="41"/>
        <v>0</v>
      </c>
      <c r="AY81">
        <f t="shared" si="41"/>
        <v>0</v>
      </c>
      <c r="AZ81">
        <f t="shared" si="41"/>
        <v>0</v>
      </c>
      <c r="BA81">
        <f t="shared" si="41"/>
        <v>0</v>
      </c>
      <c r="BC81" t="s">
        <v>4</v>
      </c>
      <c r="BD81">
        <f t="shared" si="38"/>
        <v>0</v>
      </c>
      <c r="BE81">
        <f t="shared" si="39"/>
        <v>0</v>
      </c>
    </row>
    <row r="82" spans="1:57" x14ac:dyDescent="0.3">
      <c r="A82" t="s">
        <v>5</v>
      </c>
      <c r="B82">
        <f t="shared" ref="B82:BA82" si="42">+IF(B44&gt;=$BE$73,1,0)</f>
        <v>1</v>
      </c>
      <c r="C82">
        <f t="shared" si="42"/>
        <v>1</v>
      </c>
      <c r="D82">
        <f t="shared" si="42"/>
        <v>1</v>
      </c>
      <c r="E82">
        <f t="shared" si="42"/>
        <v>1</v>
      </c>
      <c r="F82">
        <f t="shared" si="42"/>
        <v>0</v>
      </c>
      <c r="G82">
        <f t="shared" si="42"/>
        <v>0</v>
      </c>
      <c r="H82">
        <f t="shared" si="42"/>
        <v>0</v>
      </c>
      <c r="I82">
        <f t="shared" si="42"/>
        <v>0</v>
      </c>
      <c r="J82">
        <f t="shared" si="42"/>
        <v>0</v>
      </c>
      <c r="K82">
        <f t="shared" si="42"/>
        <v>0</v>
      </c>
      <c r="L82">
        <f t="shared" si="42"/>
        <v>0</v>
      </c>
      <c r="M82">
        <f t="shared" si="42"/>
        <v>0</v>
      </c>
      <c r="N82">
        <f t="shared" si="42"/>
        <v>0</v>
      </c>
      <c r="O82">
        <f t="shared" si="42"/>
        <v>0</v>
      </c>
      <c r="P82">
        <f t="shared" si="42"/>
        <v>0</v>
      </c>
      <c r="Q82">
        <f t="shared" si="42"/>
        <v>0</v>
      </c>
      <c r="R82">
        <f t="shared" si="42"/>
        <v>0</v>
      </c>
      <c r="S82">
        <f t="shared" si="42"/>
        <v>0</v>
      </c>
      <c r="T82">
        <f t="shared" si="42"/>
        <v>0</v>
      </c>
      <c r="U82">
        <f t="shared" si="42"/>
        <v>0</v>
      </c>
      <c r="V82">
        <f t="shared" si="42"/>
        <v>0</v>
      </c>
      <c r="W82">
        <f t="shared" si="42"/>
        <v>0</v>
      </c>
      <c r="X82">
        <f t="shared" si="42"/>
        <v>0</v>
      </c>
      <c r="Y82">
        <f t="shared" si="42"/>
        <v>0</v>
      </c>
      <c r="Z82">
        <f t="shared" si="42"/>
        <v>0</v>
      </c>
      <c r="AA82">
        <f t="shared" si="42"/>
        <v>0</v>
      </c>
      <c r="AB82">
        <f t="shared" si="42"/>
        <v>0</v>
      </c>
      <c r="AC82">
        <f t="shared" si="42"/>
        <v>0</v>
      </c>
      <c r="AD82">
        <f t="shared" si="42"/>
        <v>0</v>
      </c>
      <c r="AE82">
        <f t="shared" si="42"/>
        <v>0</v>
      </c>
      <c r="AF82">
        <f t="shared" si="42"/>
        <v>0</v>
      </c>
      <c r="AG82">
        <f t="shared" si="42"/>
        <v>0</v>
      </c>
      <c r="AH82">
        <f t="shared" si="42"/>
        <v>0</v>
      </c>
      <c r="AI82">
        <f t="shared" si="42"/>
        <v>0</v>
      </c>
      <c r="AJ82">
        <f t="shared" si="42"/>
        <v>0</v>
      </c>
      <c r="AK82">
        <f t="shared" si="42"/>
        <v>0</v>
      </c>
      <c r="AL82">
        <f t="shared" si="42"/>
        <v>0</v>
      </c>
      <c r="AM82">
        <f t="shared" si="42"/>
        <v>0</v>
      </c>
      <c r="AN82">
        <f t="shared" si="42"/>
        <v>0</v>
      </c>
      <c r="AO82">
        <f t="shared" si="42"/>
        <v>0</v>
      </c>
      <c r="AP82">
        <f t="shared" si="42"/>
        <v>0</v>
      </c>
      <c r="AQ82">
        <f t="shared" si="42"/>
        <v>0</v>
      </c>
      <c r="AR82">
        <f t="shared" si="42"/>
        <v>0</v>
      </c>
      <c r="AS82">
        <f t="shared" si="42"/>
        <v>0</v>
      </c>
      <c r="AT82">
        <f t="shared" si="42"/>
        <v>0</v>
      </c>
      <c r="AU82">
        <f t="shared" si="42"/>
        <v>0</v>
      </c>
      <c r="AV82">
        <f t="shared" si="42"/>
        <v>0</v>
      </c>
      <c r="AW82">
        <f t="shared" si="42"/>
        <v>0</v>
      </c>
      <c r="AX82">
        <f t="shared" si="42"/>
        <v>0</v>
      </c>
      <c r="AY82">
        <f t="shared" si="42"/>
        <v>0</v>
      </c>
      <c r="AZ82">
        <f t="shared" si="42"/>
        <v>0</v>
      </c>
      <c r="BA82">
        <f t="shared" si="42"/>
        <v>0</v>
      </c>
      <c r="BC82" t="s">
        <v>5</v>
      </c>
      <c r="BD82">
        <f t="shared" si="38"/>
        <v>4</v>
      </c>
      <c r="BE82">
        <f t="shared" si="39"/>
        <v>1</v>
      </c>
    </row>
    <row r="83" spans="1:57" x14ac:dyDescent="0.3">
      <c r="A83" t="s">
        <v>6</v>
      </c>
      <c r="B83">
        <f t="shared" ref="B83:BA83" si="43">+IF(B45&gt;=$BE$73,1,0)</f>
        <v>0</v>
      </c>
      <c r="C83">
        <f t="shared" si="43"/>
        <v>0</v>
      </c>
      <c r="D83">
        <f t="shared" si="43"/>
        <v>0</v>
      </c>
      <c r="E83">
        <f t="shared" si="43"/>
        <v>0</v>
      </c>
      <c r="F83">
        <f t="shared" si="43"/>
        <v>0</v>
      </c>
      <c r="G83">
        <f t="shared" si="43"/>
        <v>0</v>
      </c>
      <c r="H83">
        <f t="shared" si="43"/>
        <v>0</v>
      </c>
      <c r="I83">
        <f t="shared" si="43"/>
        <v>0</v>
      </c>
      <c r="J83">
        <f t="shared" si="43"/>
        <v>0</v>
      </c>
      <c r="K83">
        <f t="shared" si="43"/>
        <v>0</v>
      </c>
      <c r="L83">
        <f t="shared" si="43"/>
        <v>0</v>
      </c>
      <c r="M83">
        <f t="shared" si="43"/>
        <v>0</v>
      </c>
      <c r="N83">
        <f t="shared" si="43"/>
        <v>0</v>
      </c>
      <c r="O83">
        <f t="shared" si="43"/>
        <v>0</v>
      </c>
      <c r="P83">
        <f t="shared" si="43"/>
        <v>0</v>
      </c>
      <c r="Q83">
        <f t="shared" si="43"/>
        <v>0</v>
      </c>
      <c r="R83">
        <f t="shared" si="43"/>
        <v>0</v>
      </c>
      <c r="S83">
        <f t="shared" si="43"/>
        <v>0</v>
      </c>
      <c r="T83">
        <f t="shared" si="43"/>
        <v>0</v>
      </c>
      <c r="U83">
        <f t="shared" si="43"/>
        <v>0</v>
      </c>
      <c r="V83">
        <f t="shared" si="43"/>
        <v>0</v>
      </c>
      <c r="W83">
        <f t="shared" si="43"/>
        <v>0</v>
      </c>
      <c r="X83">
        <f t="shared" si="43"/>
        <v>0</v>
      </c>
      <c r="Y83">
        <f t="shared" si="43"/>
        <v>0</v>
      </c>
      <c r="Z83">
        <f t="shared" si="43"/>
        <v>0</v>
      </c>
      <c r="AA83">
        <f t="shared" si="43"/>
        <v>0</v>
      </c>
      <c r="AB83">
        <f t="shared" si="43"/>
        <v>0</v>
      </c>
      <c r="AC83">
        <f t="shared" si="43"/>
        <v>0</v>
      </c>
      <c r="AD83">
        <f t="shared" si="43"/>
        <v>0</v>
      </c>
      <c r="AE83">
        <f t="shared" si="43"/>
        <v>1</v>
      </c>
      <c r="AF83">
        <f t="shared" si="43"/>
        <v>1</v>
      </c>
      <c r="AG83">
        <f t="shared" si="43"/>
        <v>1</v>
      </c>
      <c r="AH83">
        <f t="shared" si="43"/>
        <v>1</v>
      </c>
      <c r="AI83">
        <f t="shared" si="43"/>
        <v>1</v>
      </c>
      <c r="AJ83">
        <f t="shared" si="43"/>
        <v>1</v>
      </c>
      <c r="AK83">
        <f t="shared" si="43"/>
        <v>1</v>
      </c>
      <c r="AL83">
        <f t="shared" si="43"/>
        <v>1</v>
      </c>
      <c r="AM83">
        <f t="shared" si="43"/>
        <v>1</v>
      </c>
      <c r="AN83">
        <f t="shared" si="43"/>
        <v>1</v>
      </c>
      <c r="AO83">
        <f t="shared" si="43"/>
        <v>1</v>
      </c>
      <c r="AP83">
        <f t="shared" si="43"/>
        <v>1</v>
      </c>
      <c r="AQ83">
        <f t="shared" si="43"/>
        <v>1</v>
      </c>
      <c r="AR83">
        <f t="shared" si="43"/>
        <v>1</v>
      </c>
      <c r="AS83">
        <f t="shared" si="43"/>
        <v>1</v>
      </c>
      <c r="AT83">
        <f t="shared" si="43"/>
        <v>1</v>
      </c>
      <c r="AU83">
        <f t="shared" si="43"/>
        <v>1</v>
      </c>
      <c r="AV83">
        <f t="shared" si="43"/>
        <v>1</v>
      </c>
      <c r="AW83">
        <f t="shared" si="43"/>
        <v>1</v>
      </c>
      <c r="AX83">
        <f t="shared" si="43"/>
        <v>1</v>
      </c>
      <c r="AY83">
        <f t="shared" si="43"/>
        <v>1</v>
      </c>
      <c r="AZ83">
        <f t="shared" si="43"/>
        <v>1</v>
      </c>
      <c r="BA83">
        <f t="shared" si="43"/>
        <v>0</v>
      </c>
      <c r="BC83" t="s">
        <v>6</v>
      </c>
      <c r="BD83">
        <f t="shared" si="38"/>
        <v>22</v>
      </c>
      <c r="BE83">
        <f t="shared" si="39"/>
        <v>1</v>
      </c>
    </row>
    <row r="84" spans="1:57" x14ac:dyDescent="0.3">
      <c r="A84" t="s">
        <v>7</v>
      </c>
      <c r="B84">
        <f t="shared" ref="B84:BA84" si="44">+IF(B46&gt;=$BE$73,1,0)</f>
        <v>0</v>
      </c>
      <c r="C84">
        <f t="shared" si="44"/>
        <v>0</v>
      </c>
      <c r="D84">
        <f t="shared" si="44"/>
        <v>0</v>
      </c>
      <c r="E84">
        <f t="shared" si="44"/>
        <v>0</v>
      </c>
      <c r="F84">
        <f t="shared" si="44"/>
        <v>0</v>
      </c>
      <c r="G84">
        <f t="shared" si="44"/>
        <v>0</v>
      </c>
      <c r="H84">
        <f t="shared" si="44"/>
        <v>0</v>
      </c>
      <c r="I84">
        <f t="shared" si="44"/>
        <v>0</v>
      </c>
      <c r="J84">
        <f t="shared" si="44"/>
        <v>0</v>
      </c>
      <c r="K84">
        <f t="shared" si="44"/>
        <v>0</v>
      </c>
      <c r="L84">
        <f t="shared" si="44"/>
        <v>0</v>
      </c>
      <c r="M84">
        <f t="shared" si="44"/>
        <v>0</v>
      </c>
      <c r="N84">
        <f t="shared" si="44"/>
        <v>0</v>
      </c>
      <c r="O84">
        <f t="shared" si="44"/>
        <v>0</v>
      </c>
      <c r="P84">
        <f t="shared" si="44"/>
        <v>0</v>
      </c>
      <c r="Q84">
        <f t="shared" si="44"/>
        <v>0</v>
      </c>
      <c r="R84">
        <f t="shared" si="44"/>
        <v>0</v>
      </c>
      <c r="S84">
        <f t="shared" si="44"/>
        <v>0</v>
      </c>
      <c r="T84">
        <f t="shared" si="44"/>
        <v>0</v>
      </c>
      <c r="U84">
        <f t="shared" si="44"/>
        <v>0</v>
      </c>
      <c r="V84">
        <f t="shared" si="44"/>
        <v>0</v>
      </c>
      <c r="W84">
        <f t="shared" si="44"/>
        <v>0</v>
      </c>
      <c r="X84">
        <f t="shared" si="44"/>
        <v>0</v>
      </c>
      <c r="Y84">
        <f t="shared" si="44"/>
        <v>0</v>
      </c>
      <c r="Z84">
        <f t="shared" si="44"/>
        <v>0</v>
      </c>
      <c r="AA84">
        <f t="shared" si="44"/>
        <v>0</v>
      </c>
      <c r="AB84">
        <f t="shared" si="44"/>
        <v>0</v>
      </c>
      <c r="AC84">
        <f t="shared" si="44"/>
        <v>0</v>
      </c>
      <c r="AD84">
        <f t="shared" si="44"/>
        <v>0</v>
      </c>
      <c r="AE84">
        <f t="shared" si="44"/>
        <v>0</v>
      </c>
      <c r="AF84">
        <f t="shared" si="44"/>
        <v>0</v>
      </c>
      <c r="AG84">
        <f t="shared" si="44"/>
        <v>0</v>
      </c>
      <c r="AH84">
        <f t="shared" si="44"/>
        <v>0</v>
      </c>
      <c r="AI84">
        <f t="shared" si="44"/>
        <v>0</v>
      </c>
      <c r="AJ84">
        <f t="shared" si="44"/>
        <v>0</v>
      </c>
      <c r="AK84">
        <f t="shared" si="44"/>
        <v>0</v>
      </c>
      <c r="AL84">
        <f t="shared" si="44"/>
        <v>0</v>
      </c>
      <c r="AM84">
        <f t="shared" si="44"/>
        <v>0</v>
      </c>
      <c r="AN84">
        <f t="shared" si="44"/>
        <v>0</v>
      </c>
      <c r="AO84">
        <f t="shared" si="44"/>
        <v>0</v>
      </c>
      <c r="AP84">
        <f t="shared" si="44"/>
        <v>0</v>
      </c>
      <c r="AQ84">
        <f t="shared" si="44"/>
        <v>0</v>
      </c>
      <c r="AR84">
        <f t="shared" si="44"/>
        <v>0</v>
      </c>
      <c r="AS84">
        <f t="shared" si="44"/>
        <v>0</v>
      </c>
      <c r="AT84">
        <f t="shared" si="44"/>
        <v>0</v>
      </c>
      <c r="AU84">
        <f t="shared" si="44"/>
        <v>0</v>
      </c>
      <c r="AV84">
        <f t="shared" si="44"/>
        <v>0</v>
      </c>
      <c r="AW84">
        <f t="shared" si="44"/>
        <v>0</v>
      </c>
      <c r="AX84">
        <f t="shared" si="44"/>
        <v>0</v>
      </c>
      <c r="AY84">
        <f t="shared" si="44"/>
        <v>0</v>
      </c>
      <c r="AZ84">
        <f t="shared" si="44"/>
        <v>0</v>
      </c>
      <c r="BA84">
        <f t="shared" si="44"/>
        <v>0</v>
      </c>
      <c r="BC84" t="s">
        <v>7</v>
      </c>
      <c r="BD84">
        <f t="shared" si="38"/>
        <v>0</v>
      </c>
      <c r="BE84">
        <f t="shared" si="39"/>
        <v>0</v>
      </c>
    </row>
    <row r="85" spans="1:57" x14ac:dyDescent="0.3">
      <c r="A85" t="s">
        <v>8</v>
      </c>
      <c r="B85">
        <f t="shared" ref="B85:BA85" si="45">+IF(B47&gt;=$BE$73,1,0)</f>
        <v>0</v>
      </c>
      <c r="C85">
        <f t="shared" si="45"/>
        <v>0</v>
      </c>
      <c r="D85">
        <f t="shared" si="45"/>
        <v>0</v>
      </c>
      <c r="E85">
        <f t="shared" si="45"/>
        <v>0</v>
      </c>
      <c r="F85">
        <f t="shared" si="45"/>
        <v>0</v>
      </c>
      <c r="G85">
        <f t="shared" si="45"/>
        <v>0</v>
      </c>
      <c r="H85">
        <f t="shared" si="45"/>
        <v>0</v>
      </c>
      <c r="I85">
        <f t="shared" si="45"/>
        <v>0</v>
      </c>
      <c r="J85">
        <f t="shared" si="45"/>
        <v>0</v>
      </c>
      <c r="K85">
        <f t="shared" si="45"/>
        <v>0</v>
      </c>
      <c r="L85">
        <f t="shared" si="45"/>
        <v>0</v>
      </c>
      <c r="M85">
        <f t="shared" si="45"/>
        <v>0</v>
      </c>
      <c r="N85">
        <f t="shared" si="45"/>
        <v>0</v>
      </c>
      <c r="O85">
        <f t="shared" si="45"/>
        <v>0</v>
      </c>
      <c r="P85">
        <f t="shared" si="45"/>
        <v>0</v>
      </c>
      <c r="Q85">
        <f t="shared" si="45"/>
        <v>0</v>
      </c>
      <c r="R85">
        <f t="shared" si="45"/>
        <v>0</v>
      </c>
      <c r="S85">
        <f t="shared" si="45"/>
        <v>0</v>
      </c>
      <c r="T85">
        <f t="shared" si="45"/>
        <v>0</v>
      </c>
      <c r="U85">
        <f t="shared" si="45"/>
        <v>0</v>
      </c>
      <c r="V85">
        <f t="shared" si="45"/>
        <v>0</v>
      </c>
      <c r="W85">
        <f t="shared" si="45"/>
        <v>0</v>
      </c>
      <c r="X85">
        <f t="shared" si="45"/>
        <v>0</v>
      </c>
      <c r="Y85">
        <f t="shared" si="45"/>
        <v>0</v>
      </c>
      <c r="Z85">
        <f t="shared" si="45"/>
        <v>0</v>
      </c>
      <c r="AA85">
        <f t="shared" si="45"/>
        <v>0</v>
      </c>
      <c r="AB85">
        <f t="shared" si="45"/>
        <v>0</v>
      </c>
      <c r="AC85">
        <f t="shared" si="45"/>
        <v>0</v>
      </c>
      <c r="AD85">
        <f t="shared" si="45"/>
        <v>0</v>
      </c>
      <c r="AE85">
        <f t="shared" si="45"/>
        <v>0</v>
      </c>
      <c r="AF85">
        <f t="shared" si="45"/>
        <v>0</v>
      </c>
      <c r="AG85">
        <f t="shared" si="45"/>
        <v>0</v>
      </c>
      <c r="AH85">
        <f t="shared" si="45"/>
        <v>0</v>
      </c>
      <c r="AI85">
        <f t="shared" si="45"/>
        <v>0</v>
      </c>
      <c r="AJ85">
        <f t="shared" si="45"/>
        <v>0</v>
      </c>
      <c r="AK85">
        <f t="shared" si="45"/>
        <v>0</v>
      </c>
      <c r="AL85">
        <f t="shared" si="45"/>
        <v>0</v>
      </c>
      <c r="AM85">
        <f t="shared" si="45"/>
        <v>0</v>
      </c>
      <c r="AN85">
        <f t="shared" si="45"/>
        <v>0</v>
      </c>
      <c r="AO85">
        <f t="shared" si="45"/>
        <v>0</v>
      </c>
      <c r="AP85">
        <f t="shared" si="45"/>
        <v>0</v>
      </c>
      <c r="AQ85">
        <f t="shared" si="45"/>
        <v>0</v>
      </c>
      <c r="AR85">
        <f t="shared" si="45"/>
        <v>0</v>
      </c>
      <c r="AS85">
        <f t="shared" si="45"/>
        <v>0</v>
      </c>
      <c r="AT85">
        <f t="shared" si="45"/>
        <v>0</v>
      </c>
      <c r="AU85">
        <f t="shared" si="45"/>
        <v>0</v>
      </c>
      <c r="AV85">
        <f t="shared" si="45"/>
        <v>0</v>
      </c>
      <c r="AW85">
        <f t="shared" si="45"/>
        <v>0</v>
      </c>
      <c r="AX85">
        <f t="shared" si="45"/>
        <v>0</v>
      </c>
      <c r="AY85">
        <f t="shared" si="45"/>
        <v>0</v>
      </c>
      <c r="AZ85">
        <f t="shared" si="45"/>
        <v>0</v>
      </c>
      <c r="BA85">
        <f t="shared" si="45"/>
        <v>0</v>
      </c>
      <c r="BC85" t="s">
        <v>8</v>
      </c>
      <c r="BD85">
        <f t="shared" si="38"/>
        <v>0</v>
      </c>
      <c r="BE85">
        <f t="shared" si="39"/>
        <v>0</v>
      </c>
    </row>
    <row r="86" spans="1:57" x14ac:dyDescent="0.3">
      <c r="A86" t="s">
        <v>9</v>
      </c>
      <c r="B86">
        <f t="shared" ref="B86:BA86" si="46">+IF(B48&gt;=$BE$73,1,0)</f>
        <v>0</v>
      </c>
      <c r="C86">
        <f t="shared" si="46"/>
        <v>0</v>
      </c>
      <c r="D86">
        <f t="shared" si="46"/>
        <v>0</v>
      </c>
      <c r="E86">
        <f t="shared" si="46"/>
        <v>0</v>
      </c>
      <c r="F86">
        <f t="shared" si="46"/>
        <v>0</v>
      </c>
      <c r="G86">
        <f t="shared" si="46"/>
        <v>0</v>
      </c>
      <c r="H86">
        <f t="shared" si="46"/>
        <v>0</v>
      </c>
      <c r="I86">
        <f t="shared" si="46"/>
        <v>0</v>
      </c>
      <c r="J86">
        <f t="shared" si="46"/>
        <v>0</v>
      </c>
      <c r="K86">
        <f t="shared" si="46"/>
        <v>0</v>
      </c>
      <c r="L86">
        <f t="shared" si="46"/>
        <v>0</v>
      </c>
      <c r="M86">
        <f t="shared" si="46"/>
        <v>0</v>
      </c>
      <c r="N86">
        <f t="shared" si="46"/>
        <v>0</v>
      </c>
      <c r="O86">
        <f t="shared" si="46"/>
        <v>0</v>
      </c>
      <c r="P86">
        <f t="shared" si="46"/>
        <v>0</v>
      </c>
      <c r="Q86">
        <f t="shared" si="46"/>
        <v>0</v>
      </c>
      <c r="R86">
        <f t="shared" si="46"/>
        <v>0</v>
      </c>
      <c r="S86">
        <f t="shared" si="46"/>
        <v>0</v>
      </c>
      <c r="T86">
        <f t="shared" si="46"/>
        <v>0</v>
      </c>
      <c r="U86">
        <f t="shared" si="46"/>
        <v>0</v>
      </c>
      <c r="V86">
        <f t="shared" si="46"/>
        <v>0</v>
      </c>
      <c r="W86">
        <f t="shared" si="46"/>
        <v>0</v>
      </c>
      <c r="X86">
        <f t="shared" si="46"/>
        <v>0</v>
      </c>
      <c r="Y86">
        <f t="shared" si="46"/>
        <v>0</v>
      </c>
      <c r="Z86">
        <f t="shared" si="46"/>
        <v>0</v>
      </c>
      <c r="AA86">
        <f t="shared" si="46"/>
        <v>0</v>
      </c>
      <c r="AB86">
        <f t="shared" si="46"/>
        <v>0</v>
      </c>
      <c r="AC86">
        <f t="shared" si="46"/>
        <v>0</v>
      </c>
      <c r="AD86">
        <f t="shared" si="46"/>
        <v>0</v>
      </c>
      <c r="AE86">
        <f t="shared" si="46"/>
        <v>0</v>
      </c>
      <c r="AF86">
        <f t="shared" si="46"/>
        <v>0</v>
      </c>
      <c r="AG86">
        <f t="shared" si="46"/>
        <v>0</v>
      </c>
      <c r="AH86">
        <f t="shared" si="46"/>
        <v>0</v>
      </c>
      <c r="AI86">
        <f t="shared" si="46"/>
        <v>0</v>
      </c>
      <c r="AJ86">
        <f t="shared" si="46"/>
        <v>0</v>
      </c>
      <c r="AK86">
        <f t="shared" si="46"/>
        <v>0</v>
      </c>
      <c r="AL86">
        <f t="shared" si="46"/>
        <v>0</v>
      </c>
      <c r="AM86">
        <f t="shared" si="46"/>
        <v>0</v>
      </c>
      <c r="AN86">
        <f t="shared" si="46"/>
        <v>0</v>
      </c>
      <c r="AO86">
        <f t="shared" si="46"/>
        <v>0</v>
      </c>
      <c r="AP86">
        <f t="shared" si="46"/>
        <v>0</v>
      </c>
      <c r="AQ86">
        <f t="shared" si="46"/>
        <v>0</v>
      </c>
      <c r="AR86">
        <f t="shared" si="46"/>
        <v>0</v>
      </c>
      <c r="AS86">
        <f t="shared" si="46"/>
        <v>0</v>
      </c>
      <c r="AT86">
        <f t="shared" si="46"/>
        <v>1</v>
      </c>
      <c r="AU86">
        <f t="shared" si="46"/>
        <v>1</v>
      </c>
      <c r="AV86">
        <f t="shared" si="46"/>
        <v>0</v>
      </c>
      <c r="AW86">
        <f t="shared" si="46"/>
        <v>0</v>
      </c>
      <c r="AX86">
        <f t="shared" si="46"/>
        <v>0</v>
      </c>
      <c r="AY86">
        <f t="shared" si="46"/>
        <v>0</v>
      </c>
      <c r="AZ86">
        <f t="shared" si="46"/>
        <v>0</v>
      </c>
      <c r="BA86">
        <f t="shared" si="46"/>
        <v>0</v>
      </c>
      <c r="BC86" t="s">
        <v>9</v>
      </c>
      <c r="BD86">
        <f t="shared" si="38"/>
        <v>2</v>
      </c>
      <c r="BE86">
        <f t="shared" si="39"/>
        <v>1</v>
      </c>
    </row>
    <row r="87" spans="1:57" x14ac:dyDescent="0.3">
      <c r="A87" t="s">
        <v>10</v>
      </c>
      <c r="B87">
        <f t="shared" ref="B87:BA87" si="47">+IF(B49&gt;=$BE$73,1,0)</f>
        <v>1</v>
      </c>
      <c r="C87">
        <f t="shared" si="47"/>
        <v>1</v>
      </c>
      <c r="D87">
        <f t="shared" si="47"/>
        <v>1</v>
      </c>
      <c r="E87">
        <f t="shared" si="47"/>
        <v>1</v>
      </c>
      <c r="F87">
        <f t="shared" si="47"/>
        <v>1</v>
      </c>
      <c r="G87">
        <f t="shared" si="47"/>
        <v>1</v>
      </c>
      <c r="H87">
        <f t="shared" si="47"/>
        <v>1</v>
      </c>
      <c r="I87">
        <f t="shared" si="47"/>
        <v>1</v>
      </c>
      <c r="J87">
        <f t="shared" si="47"/>
        <v>1</v>
      </c>
      <c r="K87">
        <f t="shared" si="47"/>
        <v>1</v>
      </c>
      <c r="L87">
        <f t="shared" si="47"/>
        <v>1</v>
      </c>
      <c r="M87">
        <f t="shared" si="47"/>
        <v>1</v>
      </c>
      <c r="N87">
        <f t="shared" si="47"/>
        <v>1</v>
      </c>
      <c r="O87">
        <f t="shared" si="47"/>
        <v>1</v>
      </c>
      <c r="P87">
        <f t="shared" si="47"/>
        <v>1</v>
      </c>
      <c r="Q87">
        <f t="shared" si="47"/>
        <v>1</v>
      </c>
      <c r="R87">
        <f t="shared" si="47"/>
        <v>1</v>
      </c>
      <c r="S87">
        <f t="shared" si="47"/>
        <v>1</v>
      </c>
      <c r="T87">
        <f t="shared" si="47"/>
        <v>1</v>
      </c>
      <c r="U87">
        <f t="shared" si="47"/>
        <v>1</v>
      </c>
      <c r="V87">
        <f t="shared" si="47"/>
        <v>1</v>
      </c>
      <c r="W87">
        <f t="shared" si="47"/>
        <v>1</v>
      </c>
      <c r="X87">
        <f t="shared" si="47"/>
        <v>1</v>
      </c>
      <c r="Y87">
        <f t="shared" si="47"/>
        <v>1</v>
      </c>
      <c r="Z87">
        <f t="shared" si="47"/>
        <v>1</v>
      </c>
      <c r="AA87">
        <f t="shared" si="47"/>
        <v>1</v>
      </c>
      <c r="AB87">
        <f t="shared" si="47"/>
        <v>1</v>
      </c>
      <c r="AC87">
        <f t="shared" si="47"/>
        <v>1</v>
      </c>
      <c r="AD87">
        <f t="shared" si="47"/>
        <v>0</v>
      </c>
      <c r="AE87">
        <f t="shared" si="47"/>
        <v>0</v>
      </c>
      <c r="AF87">
        <f t="shared" si="47"/>
        <v>0</v>
      </c>
      <c r="AG87">
        <f t="shared" si="47"/>
        <v>0</v>
      </c>
      <c r="AH87">
        <f t="shared" si="47"/>
        <v>0</v>
      </c>
      <c r="AI87">
        <f t="shared" si="47"/>
        <v>0</v>
      </c>
      <c r="AJ87">
        <f t="shared" si="47"/>
        <v>0</v>
      </c>
      <c r="AK87">
        <f t="shared" si="47"/>
        <v>0</v>
      </c>
      <c r="AL87">
        <f t="shared" si="47"/>
        <v>0</v>
      </c>
      <c r="AM87">
        <f t="shared" si="47"/>
        <v>0</v>
      </c>
      <c r="AN87">
        <f t="shared" si="47"/>
        <v>0</v>
      </c>
      <c r="AO87">
        <f t="shared" si="47"/>
        <v>0</v>
      </c>
      <c r="AP87">
        <f t="shared" si="47"/>
        <v>0</v>
      </c>
      <c r="AQ87">
        <f t="shared" si="47"/>
        <v>0</v>
      </c>
      <c r="AR87">
        <f t="shared" si="47"/>
        <v>0</v>
      </c>
      <c r="AS87">
        <f t="shared" si="47"/>
        <v>0</v>
      </c>
      <c r="AT87">
        <f t="shared" si="47"/>
        <v>0</v>
      </c>
      <c r="AU87">
        <f t="shared" si="47"/>
        <v>0</v>
      </c>
      <c r="AV87">
        <f t="shared" si="47"/>
        <v>0</v>
      </c>
      <c r="AW87">
        <f t="shared" si="47"/>
        <v>0</v>
      </c>
      <c r="AX87">
        <f t="shared" si="47"/>
        <v>0</v>
      </c>
      <c r="AY87">
        <f t="shared" si="47"/>
        <v>0</v>
      </c>
      <c r="AZ87">
        <f t="shared" si="47"/>
        <v>0</v>
      </c>
      <c r="BA87">
        <f t="shared" si="47"/>
        <v>0</v>
      </c>
      <c r="BC87" t="s">
        <v>10</v>
      </c>
      <c r="BD87">
        <f t="shared" si="38"/>
        <v>28</v>
      </c>
      <c r="BE87">
        <f t="shared" si="39"/>
        <v>1</v>
      </c>
    </row>
    <row r="88" spans="1:57" x14ac:dyDescent="0.3">
      <c r="A88" t="s">
        <v>11</v>
      </c>
      <c r="B88">
        <f t="shared" ref="B88:BA88" si="48">+IF(B50&gt;=$BE$73,1,0)</f>
        <v>1</v>
      </c>
      <c r="C88">
        <f t="shared" si="48"/>
        <v>1</v>
      </c>
      <c r="D88">
        <f t="shared" si="48"/>
        <v>1</v>
      </c>
      <c r="E88">
        <f t="shared" si="48"/>
        <v>1</v>
      </c>
      <c r="F88">
        <f t="shared" si="48"/>
        <v>1</v>
      </c>
      <c r="G88">
        <f t="shared" si="48"/>
        <v>1</v>
      </c>
      <c r="H88">
        <f t="shared" si="48"/>
        <v>1</v>
      </c>
      <c r="I88">
        <f t="shared" si="48"/>
        <v>1</v>
      </c>
      <c r="J88">
        <f t="shared" si="48"/>
        <v>1</v>
      </c>
      <c r="K88">
        <f t="shared" si="48"/>
        <v>1</v>
      </c>
      <c r="L88">
        <f t="shared" si="48"/>
        <v>1</v>
      </c>
      <c r="M88">
        <f t="shared" si="48"/>
        <v>1</v>
      </c>
      <c r="N88">
        <f t="shared" si="48"/>
        <v>1</v>
      </c>
      <c r="O88">
        <f t="shared" si="48"/>
        <v>1</v>
      </c>
      <c r="P88">
        <f t="shared" si="48"/>
        <v>1</v>
      </c>
      <c r="Q88">
        <f t="shared" si="48"/>
        <v>1</v>
      </c>
      <c r="R88">
        <f t="shared" si="48"/>
        <v>1</v>
      </c>
      <c r="S88">
        <f t="shared" si="48"/>
        <v>1</v>
      </c>
      <c r="T88">
        <f t="shared" si="48"/>
        <v>1</v>
      </c>
      <c r="U88">
        <f t="shared" si="48"/>
        <v>1</v>
      </c>
      <c r="V88">
        <f t="shared" si="48"/>
        <v>1</v>
      </c>
      <c r="W88">
        <f t="shared" si="48"/>
        <v>1</v>
      </c>
      <c r="X88">
        <f t="shared" si="48"/>
        <v>1</v>
      </c>
      <c r="Y88">
        <f t="shared" si="48"/>
        <v>1</v>
      </c>
      <c r="Z88">
        <f t="shared" si="48"/>
        <v>1</v>
      </c>
      <c r="AA88">
        <f t="shared" si="48"/>
        <v>1</v>
      </c>
      <c r="AB88">
        <f t="shared" si="48"/>
        <v>1</v>
      </c>
      <c r="AC88">
        <f t="shared" si="48"/>
        <v>1</v>
      </c>
      <c r="AD88">
        <f t="shared" si="48"/>
        <v>0</v>
      </c>
      <c r="AE88">
        <f t="shared" si="48"/>
        <v>0</v>
      </c>
      <c r="AF88">
        <f t="shared" si="48"/>
        <v>0</v>
      </c>
      <c r="AG88">
        <f t="shared" si="48"/>
        <v>0</v>
      </c>
      <c r="AH88">
        <f t="shared" si="48"/>
        <v>0</v>
      </c>
      <c r="AI88">
        <f t="shared" si="48"/>
        <v>0</v>
      </c>
      <c r="AJ88">
        <f t="shared" si="48"/>
        <v>0</v>
      </c>
      <c r="AK88">
        <f t="shared" si="48"/>
        <v>0</v>
      </c>
      <c r="AL88">
        <f t="shared" si="48"/>
        <v>0</v>
      </c>
      <c r="AM88">
        <f t="shared" si="48"/>
        <v>0</v>
      </c>
      <c r="AN88">
        <f t="shared" si="48"/>
        <v>0</v>
      </c>
      <c r="AO88">
        <f t="shared" si="48"/>
        <v>0</v>
      </c>
      <c r="AP88">
        <f t="shared" si="48"/>
        <v>0</v>
      </c>
      <c r="AQ88">
        <f t="shared" si="48"/>
        <v>0</v>
      </c>
      <c r="AR88">
        <f t="shared" si="48"/>
        <v>0</v>
      </c>
      <c r="AS88">
        <f t="shared" si="48"/>
        <v>0</v>
      </c>
      <c r="AT88">
        <f t="shared" si="48"/>
        <v>0</v>
      </c>
      <c r="AU88">
        <f t="shared" si="48"/>
        <v>0</v>
      </c>
      <c r="AV88">
        <f t="shared" si="48"/>
        <v>0</v>
      </c>
      <c r="AW88">
        <f t="shared" si="48"/>
        <v>0</v>
      </c>
      <c r="AX88">
        <f t="shared" si="48"/>
        <v>0</v>
      </c>
      <c r="AY88">
        <f t="shared" si="48"/>
        <v>0</v>
      </c>
      <c r="AZ88">
        <f t="shared" si="48"/>
        <v>0</v>
      </c>
      <c r="BA88">
        <f t="shared" si="48"/>
        <v>0</v>
      </c>
      <c r="BC88" t="s">
        <v>11</v>
      </c>
      <c r="BD88">
        <f t="shared" si="38"/>
        <v>28</v>
      </c>
      <c r="BE88">
        <f t="shared" si="39"/>
        <v>1</v>
      </c>
    </row>
    <row r="89" spans="1:57" x14ac:dyDescent="0.3">
      <c r="A89" t="s">
        <v>12</v>
      </c>
      <c r="B89">
        <f t="shared" ref="B89:BA89" si="49">+IF(B51&gt;=$BE$73,1,0)</f>
        <v>0</v>
      </c>
      <c r="C89">
        <f t="shared" si="49"/>
        <v>0</v>
      </c>
      <c r="D89">
        <f t="shared" si="49"/>
        <v>0</v>
      </c>
      <c r="E89">
        <f t="shared" si="49"/>
        <v>0</v>
      </c>
      <c r="F89">
        <f t="shared" si="49"/>
        <v>0</v>
      </c>
      <c r="G89">
        <f t="shared" si="49"/>
        <v>0</v>
      </c>
      <c r="H89">
        <f t="shared" si="49"/>
        <v>0</v>
      </c>
      <c r="I89">
        <f t="shared" si="49"/>
        <v>0</v>
      </c>
      <c r="J89">
        <f t="shared" si="49"/>
        <v>0</v>
      </c>
      <c r="K89">
        <f t="shared" si="49"/>
        <v>0</v>
      </c>
      <c r="L89">
        <f t="shared" si="49"/>
        <v>0</v>
      </c>
      <c r="M89">
        <f t="shared" si="49"/>
        <v>0</v>
      </c>
      <c r="N89">
        <f t="shared" si="49"/>
        <v>0</v>
      </c>
      <c r="O89">
        <f t="shared" si="49"/>
        <v>0</v>
      </c>
      <c r="P89">
        <f t="shared" si="49"/>
        <v>0</v>
      </c>
      <c r="Q89">
        <f t="shared" si="49"/>
        <v>0</v>
      </c>
      <c r="R89">
        <f t="shared" si="49"/>
        <v>0</v>
      </c>
      <c r="S89">
        <f t="shared" si="49"/>
        <v>0</v>
      </c>
      <c r="T89">
        <f t="shared" si="49"/>
        <v>0</v>
      </c>
      <c r="U89">
        <f t="shared" si="49"/>
        <v>0</v>
      </c>
      <c r="V89">
        <f t="shared" si="49"/>
        <v>0</v>
      </c>
      <c r="W89">
        <f t="shared" si="49"/>
        <v>0</v>
      </c>
      <c r="X89">
        <f t="shared" si="49"/>
        <v>0</v>
      </c>
      <c r="Y89">
        <f t="shared" si="49"/>
        <v>0</v>
      </c>
      <c r="Z89">
        <f t="shared" si="49"/>
        <v>0</v>
      </c>
      <c r="AA89">
        <f t="shared" si="49"/>
        <v>0</v>
      </c>
      <c r="AB89">
        <f t="shared" si="49"/>
        <v>0</v>
      </c>
      <c r="AC89">
        <f t="shared" si="49"/>
        <v>0</v>
      </c>
      <c r="AD89">
        <f t="shared" si="49"/>
        <v>0</v>
      </c>
      <c r="AE89">
        <f t="shared" si="49"/>
        <v>0</v>
      </c>
      <c r="AF89">
        <f t="shared" si="49"/>
        <v>0</v>
      </c>
      <c r="AG89">
        <f t="shared" si="49"/>
        <v>0</v>
      </c>
      <c r="AH89">
        <f t="shared" si="49"/>
        <v>0</v>
      </c>
      <c r="AI89">
        <f t="shared" si="49"/>
        <v>0</v>
      </c>
      <c r="AJ89">
        <f t="shared" si="49"/>
        <v>0</v>
      </c>
      <c r="AK89">
        <f t="shared" si="49"/>
        <v>0</v>
      </c>
      <c r="AL89">
        <f t="shared" si="49"/>
        <v>0</v>
      </c>
      <c r="AM89">
        <f t="shared" si="49"/>
        <v>0</v>
      </c>
      <c r="AN89">
        <f t="shared" si="49"/>
        <v>0</v>
      </c>
      <c r="AO89">
        <f t="shared" si="49"/>
        <v>0</v>
      </c>
      <c r="AP89">
        <f t="shared" si="49"/>
        <v>0</v>
      </c>
      <c r="AQ89">
        <f t="shared" si="49"/>
        <v>0</v>
      </c>
      <c r="AR89">
        <f t="shared" si="49"/>
        <v>0</v>
      </c>
      <c r="AS89">
        <f t="shared" si="49"/>
        <v>0</v>
      </c>
      <c r="AT89">
        <f t="shared" si="49"/>
        <v>0</v>
      </c>
      <c r="AU89">
        <f t="shared" si="49"/>
        <v>0</v>
      </c>
      <c r="AV89">
        <f t="shared" si="49"/>
        <v>0</v>
      </c>
      <c r="AW89">
        <f t="shared" si="49"/>
        <v>0</v>
      </c>
      <c r="AX89">
        <f t="shared" si="49"/>
        <v>0</v>
      </c>
      <c r="AY89">
        <f t="shared" si="49"/>
        <v>0</v>
      </c>
      <c r="AZ89">
        <f t="shared" si="49"/>
        <v>0</v>
      </c>
      <c r="BA89">
        <f t="shared" si="49"/>
        <v>0</v>
      </c>
      <c r="BC89" t="s">
        <v>12</v>
      </c>
      <c r="BD89">
        <f t="shared" si="38"/>
        <v>0</v>
      </c>
      <c r="BE89">
        <f t="shared" si="39"/>
        <v>0</v>
      </c>
    </row>
    <row r="90" spans="1:57" x14ac:dyDescent="0.3">
      <c r="A90" t="s">
        <v>13</v>
      </c>
      <c r="B90">
        <f t="shared" ref="B90:BA90" si="50">+IF(B52&gt;=$BE$73,1,0)</f>
        <v>0</v>
      </c>
      <c r="C90">
        <f t="shared" si="50"/>
        <v>0</v>
      </c>
      <c r="D90">
        <f t="shared" si="50"/>
        <v>0</v>
      </c>
      <c r="E90">
        <f t="shared" si="50"/>
        <v>0</v>
      </c>
      <c r="F90">
        <f t="shared" si="50"/>
        <v>0</v>
      </c>
      <c r="G90">
        <f t="shared" si="50"/>
        <v>0</v>
      </c>
      <c r="H90">
        <f t="shared" si="50"/>
        <v>0</v>
      </c>
      <c r="I90">
        <f t="shared" si="50"/>
        <v>0</v>
      </c>
      <c r="J90">
        <f t="shared" si="50"/>
        <v>0</v>
      </c>
      <c r="K90">
        <f t="shared" si="50"/>
        <v>0</v>
      </c>
      <c r="L90">
        <f t="shared" si="50"/>
        <v>0</v>
      </c>
      <c r="M90">
        <f t="shared" si="50"/>
        <v>0</v>
      </c>
      <c r="N90">
        <f t="shared" si="50"/>
        <v>0</v>
      </c>
      <c r="O90">
        <f t="shared" si="50"/>
        <v>0</v>
      </c>
      <c r="P90">
        <f t="shared" si="50"/>
        <v>0</v>
      </c>
      <c r="Q90">
        <f t="shared" si="50"/>
        <v>0</v>
      </c>
      <c r="R90">
        <f t="shared" si="50"/>
        <v>0</v>
      </c>
      <c r="S90">
        <f t="shared" si="50"/>
        <v>0</v>
      </c>
      <c r="T90">
        <f t="shared" si="50"/>
        <v>0</v>
      </c>
      <c r="U90">
        <f t="shared" si="50"/>
        <v>0</v>
      </c>
      <c r="V90">
        <f t="shared" si="50"/>
        <v>0</v>
      </c>
      <c r="W90">
        <f t="shared" si="50"/>
        <v>0</v>
      </c>
      <c r="X90">
        <f t="shared" si="50"/>
        <v>0</v>
      </c>
      <c r="Y90">
        <f t="shared" si="50"/>
        <v>0</v>
      </c>
      <c r="Z90">
        <f t="shared" si="50"/>
        <v>0</v>
      </c>
      <c r="AA90">
        <f t="shared" si="50"/>
        <v>0</v>
      </c>
      <c r="AB90">
        <f t="shared" si="50"/>
        <v>0</v>
      </c>
      <c r="AC90">
        <f t="shared" si="50"/>
        <v>0</v>
      </c>
      <c r="AD90">
        <f t="shared" si="50"/>
        <v>0</v>
      </c>
      <c r="AE90">
        <f t="shared" si="50"/>
        <v>0</v>
      </c>
      <c r="AF90">
        <f t="shared" si="50"/>
        <v>0</v>
      </c>
      <c r="AG90">
        <f t="shared" si="50"/>
        <v>0</v>
      </c>
      <c r="AH90">
        <f t="shared" si="50"/>
        <v>0</v>
      </c>
      <c r="AI90">
        <f t="shared" si="50"/>
        <v>0</v>
      </c>
      <c r="AJ90">
        <f t="shared" si="50"/>
        <v>0</v>
      </c>
      <c r="AK90">
        <f t="shared" si="50"/>
        <v>0</v>
      </c>
      <c r="AL90">
        <f t="shared" si="50"/>
        <v>0</v>
      </c>
      <c r="AM90">
        <f t="shared" si="50"/>
        <v>0</v>
      </c>
      <c r="AN90">
        <f t="shared" si="50"/>
        <v>0</v>
      </c>
      <c r="AO90">
        <f t="shared" si="50"/>
        <v>0</v>
      </c>
      <c r="AP90">
        <f t="shared" si="50"/>
        <v>0</v>
      </c>
      <c r="AQ90">
        <f t="shared" si="50"/>
        <v>0</v>
      </c>
      <c r="AR90">
        <f t="shared" si="50"/>
        <v>0</v>
      </c>
      <c r="AS90">
        <f t="shared" si="50"/>
        <v>0</v>
      </c>
      <c r="AT90">
        <f t="shared" si="50"/>
        <v>0</v>
      </c>
      <c r="AU90">
        <f t="shared" si="50"/>
        <v>0</v>
      </c>
      <c r="AV90">
        <f t="shared" si="50"/>
        <v>0</v>
      </c>
      <c r="AW90">
        <f t="shared" si="50"/>
        <v>0</v>
      </c>
      <c r="AX90">
        <f t="shared" si="50"/>
        <v>0</v>
      </c>
      <c r="AY90">
        <f t="shared" si="50"/>
        <v>0</v>
      </c>
      <c r="AZ90">
        <f t="shared" si="50"/>
        <v>0</v>
      </c>
      <c r="BA90">
        <f t="shared" si="50"/>
        <v>0</v>
      </c>
      <c r="BC90" t="s">
        <v>13</v>
      </c>
      <c r="BD90">
        <f t="shared" si="38"/>
        <v>0</v>
      </c>
      <c r="BE90">
        <f t="shared" si="39"/>
        <v>0</v>
      </c>
    </row>
    <row r="91" spans="1:57" x14ac:dyDescent="0.3">
      <c r="A91" t="s">
        <v>14</v>
      </c>
      <c r="B91">
        <f t="shared" ref="B91:BA91" si="51">+IF(B53&gt;=$BE$73,1,0)</f>
        <v>0</v>
      </c>
      <c r="C91">
        <f t="shared" si="51"/>
        <v>0</v>
      </c>
      <c r="D91">
        <f t="shared" si="51"/>
        <v>0</v>
      </c>
      <c r="E91">
        <f t="shared" si="51"/>
        <v>0</v>
      </c>
      <c r="F91">
        <f t="shared" si="51"/>
        <v>0</v>
      </c>
      <c r="G91">
        <f t="shared" si="51"/>
        <v>0</v>
      </c>
      <c r="H91">
        <f t="shared" si="51"/>
        <v>0</v>
      </c>
      <c r="I91">
        <f t="shared" si="51"/>
        <v>0</v>
      </c>
      <c r="J91">
        <f t="shared" si="51"/>
        <v>0</v>
      </c>
      <c r="K91">
        <f t="shared" si="51"/>
        <v>0</v>
      </c>
      <c r="L91">
        <f t="shared" si="51"/>
        <v>0</v>
      </c>
      <c r="M91">
        <f t="shared" si="51"/>
        <v>0</v>
      </c>
      <c r="N91">
        <f t="shared" si="51"/>
        <v>0</v>
      </c>
      <c r="O91">
        <f t="shared" si="51"/>
        <v>0</v>
      </c>
      <c r="P91">
        <f t="shared" si="51"/>
        <v>0</v>
      </c>
      <c r="Q91">
        <f t="shared" si="51"/>
        <v>0</v>
      </c>
      <c r="R91">
        <f t="shared" si="51"/>
        <v>0</v>
      </c>
      <c r="S91">
        <f t="shared" si="51"/>
        <v>0</v>
      </c>
      <c r="T91">
        <f t="shared" si="51"/>
        <v>0</v>
      </c>
      <c r="U91">
        <f t="shared" si="51"/>
        <v>0</v>
      </c>
      <c r="V91">
        <f t="shared" si="51"/>
        <v>0</v>
      </c>
      <c r="W91">
        <f t="shared" si="51"/>
        <v>0</v>
      </c>
      <c r="X91">
        <f t="shared" si="51"/>
        <v>0</v>
      </c>
      <c r="Y91">
        <f t="shared" si="51"/>
        <v>0</v>
      </c>
      <c r="Z91">
        <f t="shared" si="51"/>
        <v>0</v>
      </c>
      <c r="AA91">
        <f t="shared" si="51"/>
        <v>0</v>
      </c>
      <c r="AB91">
        <f t="shared" si="51"/>
        <v>0</v>
      </c>
      <c r="AC91">
        <f t="shared" si="51"/>
        <v>0</v>
      </c>
      <c r="AD91">
        <f t="shared" si="51"/>
        <v>1</v>
      </c>
      <c r="AE91">
        <f t="shared" si="51"/>
        <v>0</v>
      </c>
      <c r="AF91">
        <f t="shared" si="51"/>
        <v>0</v>
      </c>
      <c r="AG91">
        <f t="shared" si="51"/>
        <v>0</v>
      </c>
      <c r="AH91">
        <f t="shared" si="51"/>
        <v>0</v>
      </c>
      <c r="AI91">
        <f t="shared" si="51"/>
        <v>0</v>
      </c>
      <c r="AJ91">
        <f t="shared" si="51"/>
        <v>0</v>
      </c>
      <c r="AK91">
        <f t="shared" si="51"/>
        <v>0</v>
      </c>
      <c r="AL91">
        <f t="shared" si="51"/>
        <v>0</v>
      </c>
      <c r="AM91">
        <f t="shared" si="51"/>
        <v>0</v>
      </c>
      <c r="AN91">
        <f t="shared" si="51"/>
        <v>0</v>
      </c>
      <c r="AO91">
        <f t="shared" si="51"/>
        <v>0</v>
      </c>
      <c r="AP91">
        <f t="shared" si="51"/>
        <v>0</v>
      </c>
      <c r="AQ91">
        <f t="shared" si="51"/>
        <v>0</v>
      </c>
      <c r="AR91">
        <f t="shared" si="51"/>
        <v>0</v>
      </c>
      <c r="AS91">
        <f t="shared" si="51"/>
        <v>0</v>
      </c>
      <c r="AT91">
        <f t="shared" si="51"/>
        <v>0</v>
      </c>
      <c r="AU91">
        <f t="shared" si="51"/>
        <v>0</v>
      </c>
      <c r="AV91">
        <f t="shared" si="51"/>
        <v>0</v>
      </c>
      <c r="AW91">
        <f t="shared" si="51"/>
        <v>0</v>
      </c>
      <c r="AX91">
        <f t="shared" si="51"/>
        <v>0</v>
      </c>
      <c r="AY91">
        <f t="shared" si="51"/>
        <v>0</v>
      </c>
      <c r="AZ91">
        <f t="shared" si="51"/>
        <v>0</v>
      </c>
      <c r="BA91">
        <f t="shared" si="51"/>
        <v>0</v>
      </c>
      <c r="BC91" t="s">
        <v>14</v>
      </c>
      <c r="BD91">
        <f t="shared" si="38"/>
        <v>1</v>
      </c>
      <c r="BE91">
        <f t="shared" si="39"/>
        <v>1</v>
      </c>
    </row>
    <row r="92" spans="1:57" x14ac:dyDescent="0.3">
      <c r="A92" t="s">
        <v>15</v>
      </c>
      <c r="B92">
        <f t="shared" ref="B92:BA92" si="52">+IF(B54&gt;=$BE$73,1,0)</f>
        <v>0</v>
      </c>
      <c r="C92">
        <f t="shared" si="52"/>
        <v>0</v>
      </c>
      <c r="D92">
        <f t="shared" si="52"/>
        <v>0</v>
      </c>
      <c r="E92">
        <f t="shared" si="52"/>
        <v>0</v>
      </c>
      <c r="F92">
        <f t="shared" si="52"/>
        <v>0</v>
      </c>
      <c r="G92">
        <f t="shared" si="52"/>
        <v>0</v>
      </c>
      <c r="H92">
        <f t="shared" si="52"/>
        <v>0</v>
      </c>
      <c r="I92">
        <f t="shared" si="52"/>
        <v>0</v>
      </c>
      <c r="J92">
        <f t="shared" si="52"/>
        <v>0</v>
      </c>
      <c r="K92">
        <f t="shared" si="52"/>
        <v>0</v>
      </c>
      <c r="L92">
        <f t="shared" si="52"/>
        <v>0</v>
      </c>
      <c r="M92">
        <f t="shared" si="52"/>
        <v>0</v>
      </c>
      <c r="N92">
        <f t="shared" si="52"/>
        <v>0</v>
      </c>
      <c r="O92">
        <f t="shared" si="52"/>
        <v>0</v>
      </c>
      <c r="P92">
        <f t="shared" si="52"/>
        <v>0</v>
      </c>
      <c r="Q92">
        <f t="shared" si="52"/>
        <v>0</v>
      </c>
      <c r="R92">
        <f t="shared" si="52"/>
        <v>0</v>
      </c>
      <c r="S92">
        <f t="shared" si="52"/>
        <v>0</v>
      </c>
      <c r="T92">
        <f t="shared" si="52"/>
        <v>1</v>
      </c>
      <c r="U92">
        <f t="shared" si="52"/>
        <v>1</v>
      </c>
      <c r="V92">
        <f t="shared" si="52"/>
        <v>1</v>
      </c>
      <c r="W92">
        <f t="shared" si="52"/>
        <v>1</v>
      </c>
      <c r="X92">
        <f t="shared" si="52"/>
        <v>1</v>
      </c>
      <c r="Y92">
        <f t="shared" si="52"/>
        <v>1</v>
      </c>
      <c r="Z92">
        <f t="shared" si="52"/>
        <v>1</v>
      </c>
      <c r="AA92">
        <f t="shared" si="52"/>
        <v>1</v>
      </c>
      <c r="AB92">
        <f t="shared" si="52"/>
        <v>1</v>
      </c>
      <c r="AC92">
        <f t="shared" si="52"/>
        <v>1</v>
      </c>
      <c r="AD92">
        <f t="shared" si="52"/>
        <v>1</v>
      </c>
      <c r="AE92">
        <f t="shared" si="52"/>
        <v>0</v>
      </c>
      <c r="AF92">
        <f t="shared" si="52"/>
        <v>0</v>
      </c>
      <c r="AG92">
        <f t="shared" si="52"/>
        <v>0</v>
      </c>
      <c r="AH92">
        <f t="shared" si="52"/>
        <v>0</v>
      </c>
      <c r="AI92">
        <f t="shared" si="52"/>
        <v>0</v>
      </c>
      <c r="AJ92">
        <f t="shared" si="52"/>
        <v>0</v>
      </c>
      <c r="AK92">
        <f t="shared" si="52"/>
        <v>0</v>
      </c>
      <c r="AL92">
        <f t="shared" si="52"/>
        <v>0</v>
      </c>
      <c r="AM92">
        <f t="shared" si="52"/>
        <v>0</v>
      </c>
      <c r="AN92">
        <f t="shared" si="52"/>
        <v>0</v>
      </c>
      <c r="AO92">
        <f t="shared" si="52"/>
        <v>0</v>
      </c>
      <c r="AP92">
        <f t="shared" si="52"/>
        <v>0</v>
      </c>
      <c r="AQ92">
        <f t="shared" si="52"/>
        <v>0</v>
      </c>
      <c r="AR92">
        <f t="shared" si="52"/>
        <v>0</v>
      </c>
      <c r="AS92">
        <f t="shared" si="52"/>
        <v>0</v>
      </c>
      <c r="AT92">
        <f t="shared" si="52"/>
        <v>0</v>
      </c>
      <c r="AU92">
        <f t="shared" si="52"/>
        <v>0</v>
      </c>
      <c r="AV92">
        <f t="shared" si="52"/>
        <v>0</v>
      </c>
      <c r="AW92">
        <f t="shared" si="52"/>
        <v>0</v>
      </c>
      <c r="AX92">
        <f t="shared" si="52"/>
        <v>0</v>
      </c>
      <c r="AY92">
        <f t="shared" si="52"/>
        <v>0</v>
      </c>
      <c r="AZ92">
        <f t="shared" si="52"/>
        <v>0</v>
      </c>
      <c r="BA92">
        <f t="shared" si="52"/>
        <v>0</v>
      </c>
      <c r="BC92" t="s">
        <v>15</v>
      </c>
      <c r="BD92">
        <f t="shared" si="38"/>
        <v>11</v>
      </c>
      <c r="BE92">
        <f t="shared" si="39"/>
        <v>1</v>
      </c>
    </row>
    <row r="93" spans="1:57" x14ac:dyDescent="0.3">
      <c r="A93" t="s">
        <v>16</v>
      </c>
      <c r="B93">
        <f t="shared" ref="B93:BA93" si="53">+IF(B55&gt;=$BE$73,1,0)</f>
        <v>0</v>
      </c>
      <c r="C93">
        <f t="shared" si="53"/>
        <v>0</v>
      </c>
      <c r="D93">
        <f t="shared" si="53"/>
        <v>0</v>
      </c>
      <c r="E93">
        <f t="shared" si="53"/>
        <v>0</v>
      </c>
      <c r="F93">
        <f t="shared" si="53"/>
        <v>0</v>
      </c>
      <c r="G93">
        <f t="shared" si="53"/>
        <v>0</v>
      </c>
      <c r="H93">
        <f t="shared" si="53"/>
        <v>0</v>
      </c>
      <c r="I93">
        <f t="shared" si="53"/>
        <v>0</v>
      </c>
      <c r="J93">
        <f t="shared" si="53"/>
        <v>0</v>
      </c>
      <c r="K93">
        <f t="shared" si="53"/>
        <v>0</v>
      </c>
      <c r="L93">
        <f t="shared" si="53"/>
        <v>0</v>
      </c>
      <c r="M93">
        <f t="shared" si="53"/>
        <v>0</v>
      </c>
      <c r="N93">
        <f t="shared" si="53"/>
        <v>0</v>
      </c>
      <c r="O93">
        <f t="shared" si="53"/>
        <v>0</v>
      </c>
      <c r="P93">
        <f t="shared" si="53"/>
        <v>0</v>
      </c>
      <c r="Q93">
        <f t="shared" si="53"/>
        <v>0</v>
      </c>
      <c r="R93">
        <f t="shared" si="53"/>
        <v>0</v>
      </c>
      <c r="S93">
        <f t="shared" si="53"/>
        <v>0</v>
      </c>
      <c r="T93">
        <f t="shared" si="53"/>
        <v>0</v>
      </c>
      <c r="U93">
        <f t="shared" si="53"/>
        <v>0</v>
      </c>
      <c r="V93">
        <f t="shared" si="53"/>
        <v>0</v>
      </c>
      <c r="W93">
        <f t="shared" si="53"/>
        <v>0</v>
      </c>
      <c r="X93">
        <f t="shared" si="53"/>
        <v>0</v>
      </c>
      <c r="Y93">
        <f t="shared" si="53"/>
        <v>0</v>
      </c>
      <c r="Z93">
        <f t="shared" si="53"/>
        <v>0</v>
      </c>
      <c r="AA93">
        <f t="shared" si="53"/>
        <v>0</v>
      </c>
      <c r="AB93">
        <f t="shared" si="53"/>
        <v>0</v>
      </c>
      <c r="AC93">
        <f t="shared" si="53"/>
        <v>0</v>
      </c>
      <c r="AD93">
        <f t="shared" si="53"/>
        <v>0</v>
      </c>
      <c r="AE93">
        <f t="shared" si="53"/>
        <v>0</v>
      </c>
      <c r="AF93">
        <f t="shared" si="53"/>
        <v>0</v>
      </c>
      <c r="AG93">
        <f t="shared" si="53"/>
        <v>0</v>
      </c>
      <c r="AH93">
        <f t="shared" si="53"/>
        <v>0</v>
      </c>
      <c r="AI93">
        <f t="shared" si="53"/>
        <v>0</v>
      </c>
      <c r="AJ93">
        <f t="shared" si="53"/>
        <v>0</v>
      </c>
      <c r="AK93">
        <f t="shared" si="53"/>
        <v>0</v>
      </c>
      <c r="AL93">
        <f t="shared" si="53"/>
        <v>0</v>
      </c>
      <c r="AM93">
        <f t="shared" si="53"/>
        <v>0</v>
      </c>
      <c r="AN93">
        <f t="shared" si="53"/>
        <v>0</v>
      </c>
      <c r="AO93">
        <f t="shared" si="53"/>
        <v>0</v>
      </c>
      <c r="AP93">
        <f t="shared" si="53"/>
        <v>0</v>
      </c>
      <c r="AQ93">
        <f t="shared" si="53"/>
        <v>0</v>
      </c>
      <c r="AR93">
        <f t="shared" si="53"/>
        <v>0</v>
      </c>
      <c r="AS93">
        <f t="shared" si="53"/>
        <v>0</v>
      </c>
      <c r="AT93">
        <f t="shared" si="53"/>
        <v>0</v>
      </c>
      <c r="AU93">
        <f t="shared" si="53"/>
        <v>0</v>
      </c>
      <c r="AV93">
        <f t="shared" si="53"/>
        <v>0</v>
      </c>
      <c r="AW93">
        <f t="shared" si="53"/>
        <v>0</v>
      </c>
      <c r="AX93">
        <f t="shared" si="53"/>
        <v>0</v>
      </c>
      <c r="AY93">
        <f t="shared" si="53"/>
        <v>0</v>
      </c>
      <c r="AZ93">
        <f t="shared" si="53"/>
        <v>0</v>
      </c>
      <c r="BA93">
        <f t="shared" si="53"/>
        <v>0</v>
      </c>
      <c r="BC93" t="s">
        <v>16</v>
      </c>
      <c r="BD93">
        <f t="shared" si="38"/>
        <v>0</v>
      </c>
      <c r="BE93">
        <f t="shared" si="39"/>
        <v>0</v>
      </c>
    </row>
    <row r="94" spans="1:57" x14ac:dyDescent="0.3">
      <c r="A94" t="s">
        <v>17</v>
      </c>
      <c r="B94">
        <f t="shared" ref="B94:BA94" si="54">+IF(B56&gt;=$BE$73,1,0)</f>
        <v>0</v>
      </c>
      <c r="C94">
        <f t="shared" si="54"/>
        <v>0</v>
      </c>
      <c r="D94">
        <f t="shared" si="54"/>
        <v>0</v>
      </c>
      <c r="E94">
        <f t="shared" si="54"/>
        <v>0</v>
      </c>
      <c r="F94">
        <f t="shared" si="54"/>
        <v>0</v>
      </c>
      <c r="G94">
        <f t="shared" si="54"/>
        <v>0</v>
      </c>
      <c r="H94">
        <f t="shared" si="54"/>
        <v>0</v>
      </c>
      <c r="I94">
        <f t="shared" si="54"/>
        <v>0</v>
      </c>
      <c r="J94">
        <f t="shared" si="54"/>
        <v>0</v>
      </c>
      <c r="K94">
        <f t="shared" si="54"/>
        <v>0</v>
      </c>
      <c r="L94">
        <f t="shared" si="54"/>
        <v>0</v>
      </c>
      <c r="M94">
        <f t="shared" si="54"/>
        <v>0</v>
      </c>
      <c r="N94">
        <f t="shared" si="54"/>
        <v>0</v>
      </c>
      <c r="O94">
        <f t="shared" si="54"/>
        <v>0</v>
      </c>
      <c r="P94">
        <f t="shared" si="54"/>
        <v>0</v>
      </c>
      <c r="Q94">
        <f t="shared" si="54"/>
        <v>0</v>
      </c>
      <c r="R94">
        <f t="shared" si="54"/>
        <v>0</v>
      </c>
      <c r="S94">
        <f t="shared" si="54"/>
        <v>0</v>
      </c>
      <c r="T94">
        <f t="shared" si="54"/>
        <v>0</v>
      </c>
      <c r="U94">
        <f t="shared" si="54"/>
        <v>0</v>
      </c>
      <c r="V94">
        <f t="shared" si="54"/>
        <v>0</v>
      </c>
      <c r="W94">
        <f t="shared" si="54"/>
        <v>0</v>
      </c>
      <c r="X94">
        <f t="shared" si="54"/>
        <v>0</v>
      </c>
      <c r="Y94">
        <f t="shared" si="54"/>
        <v>0</v>
      </c>
      <c r="Z94">
        <f t="shared" si="54"/>
        <v>0</v>
      </c>
      <c r="AA94">
        <f t="shared" si="54"/>
        <v>0</v>
      </c>
      <c r="AB94">
        <f t="shared" si="54"/>
        <v>0</v>
      </c>
      <c r="AC94">
        <f t="shared" si="54"/>
        <v>0</v>
      </c>
      <c r="AD94">
        <f t="shared" si="54"/>
        <v>0</v>
      </c>
      <c r="AE94">
        <f t="shared" si="54"/>
        <v>0</v>
      </c>
      <c r="AF94">
        <f t="shared" si="54"/>
        <v>0</v>
      </c>
      <c r="AG94">
        <f t="shared" si="54"/>
        <v>0</v>
      </c>
      <c r="AH94">
        <f t="shared" si="54"/>
        <v>0</v>
      </c>
      <c r="AI94">
        <f t="shared" si="54"/>
        <v>0</v>
      </c>
      <c r="AJ94">
        <f t="shared" si="54"/>
        <v>0</v>
      </c>
      <c r="AK94">
        <f t="shared" si="54"/>
        <v>0</v>
      </c>
      <c r="AL94">
        <f t="shared" si="54"/>
        <v>0</v>
      </c>
      <c r="AM94">
        <f t="shared" si="54"/>
        <v>0</v>
      </c>
      <c r="AN94">
        <f t="shared" si="54"/>
        <v>0</v>
      </c>
      <c r="AO94">
        <f t="shared" si="54"/>
        <v>0</v>
      </c>
      <c r="AP94">
        <f t="shared" si="54"/>
        <v>0</v>
      </c>
      <c r="AQ94">
        <f t="shared" si="54"/>
        <v>0</v>
      </c>
      <c r="AR94">
        <f t="shared" si="54"/>
        <v>0</v>
      </c>
      <c r="AS94">
        <f t="shared" si="54"/>
        <v>0</v>
      </c>
      <c r="AT94">
        <f t="shared" si="54"/>
        <v>0</v>
      </c>
      <c r="AU94">
        <f t="shared" si="54"/>
        <v>0</v>
      </c>
      <c r="AV94">
        <f t="shared" si="54"/>
        <v>0</v>
      </c>
      <c r="AW94">
        <f t="shared" si="54"/>
        <v>0</v>
      </c>
      <c r="AX94">
        <f t="shared" si="54"/>
        <v>0</v>
      </c>
      <c r="AY94">
        <f t="shared" si="54"/>
        <v>0</v>
      </c>
      <c r="AZ94">
        <f t="shared" si="54"/>
        <v>0</v>
      </c>
      <c r="BA94">
        <f t="shared" si="54"/>
        <v>0</v>
      </c>
      <c r="BC94" t="s">
        <v>17</v>
      </c>
      <c r="BD94">
        <f t="shared" si="38"/>
        <v>0</v>
      </c>
      <c r="BE94">
        <f t="shared" si="39"/>
        <v>0</v>
      </c>
    </row>
    <row r="95" spans="1:57" x14ac:dyDescent="0.3">
      <c r="A95" t="s">
        <v>18</v>
      </c>
      <c r="B95">
        <f t="shared" ref="B95:BA95" si="55">+IF(B57&gt;=$BE$73,1,0)</f>
        <v>0</v>
      </c>
      <c r="C95">
        <f t="shared" si="55"/>
        <v>0</v>
      </c>
      <c r="D95">
        <f t="shared" si="55"/>
        <v>0</v>
      </c>
      <c r="E95">
        <f t="shared" si="55"/>
        <v>0</v>
      </c>
      <c r="F95">
        <f t="shared" si="55"/>
        <v>0</v>
      </c>
      <c r="G95">
        <f t="shared" si="55"/>
        <v>0</v>
      </c>
      <c r="H95">
        <f t="shared" si="55"/>
        <v>0</v>
      </c>
      <c r="I95">
        <f t="shared" si="55"/>
        <v>0</v>
      </c>
      <c r="J95">
        <f t="shared" si="55"/>
        <v>0</v>
      </c>
      <c r="K95">
        <f t="shared" si="55"/>
        <v>0</v>
      </c>
      <c r="L95">
        <f t="shared" si="55"/>
        <v>0</v>
      </c>
      <c r="M95">
        <f t="shared" si="55"/>
        <v>0</v>
      </c>
      <c r="N95">
        <f t="shared" si="55"/>
        <v>0</v>
      </c>
      <c r="O95">
        <f t="shared" si="55"/>
        <v>0</v>
      </c>
      <c r="P95">
        <f t="shared" si="55"/>
        <v>0</v>
      </c>
      <c r="Q95">
        <f t="shared" si="55"/>
        <v>0</v>
      </c>
      <c r="R95">
        <f t="shared" si="55"/>
        <v>0</v>
      </c>
      <c r="S95">
        <f t="shared" si="55"/>
        <v>0</v>
      </c>
      <c r="T95">
        <f t="shared" si="55"/>
        <v>0</v>
      </c>
      <c r="U95">
        <f t="shared" si="55"/>
        <v>0</v>
      </c>
      <c r="V95">
        <f t="shared" si="55"/>
        <v>0</v>
      </c>
      <c r="W95">
        <f t="shared" si="55"/>
        <v>0</v>
      </c>
      <c r="X95">
        <f t="shared" si="55"/>
        <v>0</v>
      </c>
      <c r="Y95">
        <f t="shared" si="55"/>
        <v>0</v>
      </c>
      <c r="Z95">
        <f t="shared" si="55"/>
        <v>0</v>
      </c>
      <c r="AA95">
        <f t="shared" si="55"/>
        <v>0</v>
      </c>
      <c r="AB95">
        <f t="shared" si="55"/>
        <v>0</v>
      </c>
      <c r="AC95">
        <f t="shared" si="55"/>
        <v>0</v>
      </c>
      <c r="AD95">
        <f t="shared" si="55"/>
        <v>0</v>
      </c>
      <c r="AE95">
        <f t="shared" si="55"/>
        <v>0</v>
      </c>
      <c r="AF95">
        <f t="shared" si="55"/>
        <v>0</v>
      </c>
      <c r="AG95">
        <f t="shared" si="55"/>
        <v>0</v>
      </c>
      <c r="AH95">
        <f t="shared" si="55"/>
        <v>0</v>
      </c>
      <c r="AI95">
        <f t="shared" si="55"/>
        <v>0</v>
      </c>
      <c r="AJ95">
        <f t="shared" si="55"/>
        <v>0</v>
      </c>
      <c r="AK95">
        <f t="shared" si="55"/>
        <v>0</v>
      </c>
      <c r="AL95">
        <f t="shared" si="55"/>
        <v>0</v>
      </c>
      <c r="AM95">
        <f t="shared" si="55"/>
        <v>0</v>
      </c>
      <c r="AN95">
        <f t="shared" si="55"/>
        <v>0</v>
      </c>
      <c r="AO95">
        <f t="shared" si="55"/>
        <v>0</v>
      </c>
      <c r="AP95">
        <f t="shared" si="55"/>
        <v>0</v>
      </c>
      <c r="AQ95">
        <f t="shared" si="55"/>
        <v>0</v>
      </c>
      <c r="AR95">
        <f t="shared" si="55"/>
        <v>0</v>
      </c>
      <c r="AS95">
        <f t="shared" si="55"/>
        <v>0</v>
      </c>
      <c r="AT95">
        <f t="shared" si="55"/>
        <v>0</v>
      </c>
      <c r="AU95">
        <f t="shared" si="55"/>
        <v>0</v>
      </c>
      <c r="AV95">
        <f t="shared" si="55"/>
        <v>0</v>
      </c>
      <c r="AW95">
        <f t="shared" si="55"/>
        <v>0</v>
      </c>
      <c r="AX95">
        <f t="shared" si="55"/>
        <v>0</v>
      </c>
      <c r="AY95">
        <f t="shared" si="55"/>
        <v>0</v>
      </c>
      <c r="AZ95">
        <f t="shared" si="55"/>
        <v>0</v>
      </c>
      <c r="BA95">
        <f t="shared" si="55"/>
        <v>0</v>
      </c>
      <c r="BC95" t="s">
        <v>18</v>
      </c>
      <c r="BD95">
        <f t="shared" si="38"/>
        <v>0</v>
      </c>
      <c r="BE95">
        <f t="shared" si="39"/>
        <v>0</v>
      </c>
    </row>
    <row r="96" spans="1:57" x14ac:dyDescent="0.3">
      <c r="A96" t="s">
        <v>19</v>
      </c>
      <c r="B96">
        <f t="shared" ref="B96:BA96" si="56">+IF(B58&gt;=$BE$73,1,0)</f>
        <v>0</v>
      </c>
      <c r="C96">
        <f t="shared" si="56"/>
        <v>0</v>
      </c>
      <c r="D96">
        <f t="shared" si="56"/>
        <v>0</v>
      </c>
      <c r="E96">
        <f t="shared" si="56"/>
        <v>0</v>
      </c>
      <c r="F96">
        <f t="shared" si="56"/>
        <v>0</v>
      </c>
      <c r="G96">
        <f t="shared" si="56"/>
        <v>0</v>
      </c>
      <c r="H96">
        <f t="shared" si="56"/>
        <v>0</v>
      </c>
      <c r="I96">
        <f t="shared" si="56"/>
        <v>0</v>
      </c>
      <c r="J96">
        <f t="shared" si="56"/>
        <v>0</v>
      </c>
      <c r="K96">
        <f t="shared" si="56"/>
        <v>0</v>
      </c>
      <c r="L96">
        <f t="shared" si="56"/>
        <v>0</v>
      </c>
      <c r="M96">
        <f t="shared" si="56"/>
        <v>0</v>
      </c>
      <c r="N96">
        <f t="shared" si="56"/>
        <v>0</v>
      </c>
      <c r="O96">
        <f t="shared" si="56"/>
        <v>0</v>
      </c>
      <c r="P96">
        <f t="shared" si="56"/>
        <v>0</v>
      </c>
      <c r="Q96">
        <f t="shared" si="56"/>
        <v>0</v>
      </c>
      <c r="R96">
        <f t="shared" si="56"/>
        <v>0</v>
      </c>
      <c r="S96">
        <f t="shared" si="56"/>
        <v>0</v>
      </c>
      <c r="T96">
        <f t="shared" si="56"/>
        <v>0</v>
      </c>
      <c r="U96">
        <f t="shared" si="56"/>
        <v>0</v>
      </c>
      <c r="V96">
        <f t="shared" si="56"/>
        <v>0</v>
      </c>
      <c r="W96">
        <f t="shared" si="56"/>
        <v>0</v>
      </c>
      <c r="X96">
        <f t="shared" si="56"/>
        <v>0</v>
      </c>
      <c r="Y96">
        <f t="shared" si="56"/>
        <v>0</v>
      </c>
      <c r="Z96">
        <f t="shared" si="56"/>
        <v>0</v>
      </c>
      <c r="AA96">
        <f t="shared" si="56"/>
        <v>0</v>
      </c>
      <c r="AB96">
        <f t="shared" si="56"/>
        <v>0</v>
      </c>
      <c r="AC96">
        <f t="shared" si="56"/>
        <v>0</v>
      </c>
      <c r="AD96">
        <f t="shared" si="56"/>
        <v>0</v>
      </c>
      <c r="AE96">
        <f t="shared" si="56"/>
        <v>0</v>
      </c>
      <c r="AF96">
        <f t="shared" si="56"/>
        <v>0</v>
      </c>
      <c r="AG96">
        <f t="shared" si="56"/>
        <v>0</v>
      </c>
      <c r="AH96">
        <f t="shared" si="56"/>
        <v>0</v>
      </c>
      <c r="AI96">
        <f t="shared" si="56"/>
        <v>0</v>
      </c>
      <c r="AJ96">
        <f t="shared" si="56"/>
        <v>0</v>
      </c>
      <c r="AK96">
        <f t="shared" si="56"/>
        <v>0</v>
      </c>
      <c r="AL96">
        <f t="shared" si="56"/>
        <v>0</v>
      </c>
      <c r="AM96">
        <f t="shared" si="56"/>
        <v>0</v>
      </c>
      <c r="AN96">
        <f t="shared" si="56"/>
        <v>0</v>
      </c>
      <c r="AO96">
        <f t="shared" si="56"/>
        <v>0</v>
      </c>
      <c r="AP96">
        <f t="shared" si="56"/>
        <v>0</v>
      </c>
      <c r="AQ96">
        <f t="shared" si="56"/>
        <v>0</v>
      </c>
      <c r="AR96">
        <f t="shared" si="56"/>
        <v>0</v>
      </c>
      <c r="AS96">
        <f t="shared" si="56"/>
        <v>0</v>
      </c>
      <c r="AT96">
        <f t="shared" si="56"/>
        <v>0</v>
      </c>
      <c r="AU96">
        <f t="shared" si="56"/>
        <v>0</v>
      </c>
      <c r="AV96">
        <f t="shared" si="56"/>
        <v>0</v>
      </c>
      <c r="AW96">
        <f t="shared" si="56"/>
        <v>0</v>
      </c>
      <c r="AX96">
        <f t="shared" si="56"/>
        <v>0</v>
      </c>
      <c r="AY96">
        <f t="shared" si="56"/>
        <v>0</v>
      </c>
      <c r="AZ96">
        <f t="shared" si="56"/>
        <v>0</v>
      </c>
      <c r="BA96">
        <f t="shared" si="56"/>
        <v>0</v>
      </c>
      <c r="BC96" t="s">
        <v>19</v>
      </c>
      <c r="BD96">
        <f t="shared" si="38"/>
        <v>0</v>
      </c>
      <c r="BE96">
        <f t="shared" si="39"/>
        <v>0</v>
      </c>
    </row>
    <row r="97" spans="1:57" x14ac:dyDescent="0.3">
      <c r="A97" t="s">
        <v>20</v>
      </c>
      <c r="B97">
        <f t="shared" ref="B97:BA97" si="57">+IF(B59&gt;=$BE$73,1,0)</f>
        <v>0</v>
      </c>
      <c r="C97">
        <f t="shared" si="57"/>
        <v>0</v>
      </c>
      <c r="D97">
        <f t="shared" si="57"/>
        <v>0</v>
      </c>
      <c r="E97">
        <f t="shared" si="57"/>
        <v>0</v>
      </c>
      <c r="F97">
        <f t="shared" si="57"/>
        <v>1</v>
      </c>
      <c r="G97">
        <f t="shared" si="57"/>
        <v>1</v>
      </c>
      <c r="H97">
        <f t="shared" si="57"/>
        <v>1</v>
      </c>
      <c r="I97">
        <f t="shared" si="57"/>
        <v>1</v>
      </c>
      <c r="J97">
        <f t="shared" si="57"/>
        <v>1</v>
      </c>
      <c r="K97">
        <f t="shared" si="57"/>
        <v>1</v>
      </c>
      <c r="L97">
        <f t="shared" si="57"/>
        <v>1</v>
      </c>
      <c r="M97">
        <f t="shared" si="57"/>
        <v>1</v>
      </c>
      <c r="N97">
        <f t="shared" si="57"/>
        <v>1</v>
      </c>
      <c r="O97">
        <f t="shared" si="57"/>
        <v>1</v>
      </c>
      <c r="P97">
        <f t="shared" si="57"/>
        <v>1</v>
      </c>
      <c r="Q97">
        <f t="shared" si="57"/>
        <v>1</v>
      </c>
      <c r="R97">
        <f t="shared" si="57"/>
        <v>1</v>
      </c>
      <c r="S97">
        <f t="shared" si="57"/>
        <v>1</v>
      </c>
      <c r="T97">
        <f t="shared" si="57"/>
        <v>1</v>
      </c>
      <c r="U97">
        <f t="shared" si="57"/>
        <v>1</v>
      </c>
      <c r="V97">
        <f t="shared" si="57"/>
        <v>1</v>
      </c>
      <c r="W97">
        <f t="shared" si="57"/>
        <v>1</v>
      </c>
      <c r="X97">
        <f t="shared" si="57"/>
        <v>1</v>
      </c>
      <c r="Y97">
        <f t="shared" si="57"/>
        <v>1</v>
      </c>
      <c r="Z97">
        <f t="shared" si="57"/>
        <v>1</v>
      </c>
      <c r="AA97">
        <f t="shared" si="57"/>
        <v>1</v>
      </c>
      <c r="AB97">
        <f t="shared" si="57"/>
        <v>1</v>
      </c>
      <c r="AC97">
        <f t="shared" si="57"/>
        <v>1</v>
      </c>
      <c r="AD97">
        <f t="shared" si="57"/>
        <v>1</v>
      </c>
      <c r="AE97">
        <f t="shared" si="57"/>
        <v>1</v>
      </c>
      <c r="AF97">
        <f t="shared" si="57"/>
        <v>1</v>
      </c>
      <c r="AG97">
        <f t="shared" si="57"/>
        <v>1</v>
      </c>
      <c r="AH97">
        <f t="shared" si="57"/>
        <v>1</v>
      </c>
      <c r="AI97">
        <f t="shared" si="57"/>
        <v>1</v>
      </c>
      <c r="AJ97">
        <f t="shared" si="57"/>
        <v>1</v>
      </c>
      <c r="AK97">
        <f t="shared" si="57"/>
        <v>1</v>
      </c>
      <c r="AL97">
        <f t="shared" si="57"/>
        <v>1</v>
      </c>
      <c r="AM97">
        <f t="shared" si="57"/>
        <v>1</v>
      </c>
      <c r="AN97">
        <f t="shared" si="57"/>
        <v>1</v>
      </c>
      <c r="AO97">
        <f t="shared" si="57"/>
        <v>1</v>
      </c>
      <c r="AP97">
        <f t="shared" si="57"/>
        <v>1</v>
      </c>
      <c r="AQ97">
        <f t="shared" si="57"/>
        <v>1</v>
      </c>
      <c r="AR97">
        <f t="shared" si="57"/>
        <v>1</v>
      </c>
      <c r="AS97">
        <f t="shared" si="57"/>
        <v>1</v>
      </c>
      <c r="AT97">
        <f t="shared" si="57"/>
        <v>0</v>
      </c>
      <c r="AU97">
        <f t="shared" si="57"/>
        <v>0</v>
      </c>
      <c r="AV97">
        <f t="shared" si="57"/>
        <v>0</v>
      </c>
      <c r="AW97">
        <f t="shared" si="57"/>
        <v>0</v>
      </c>
      <c r="AX97">
        <f t="shared" si="57"/>
        <v>0</v>
      </c>
      <c r="AY97">
        <f t="shared" si="57"/>
        <v>0</v>
      </c>
      <c r="AZ97">
        <f t="shared" si="57"/>
        <v>0</v>
      </c>
      <c r="BA97">
        <f t="shared" si="57"/>
        <v>0</v>
      </c>
      <c r="BC97" t="s">
        <v>20</v>
      </c>
      <c r="BD97">
        <f t="shared" si="38"/>
        <v>40</v>
      </c>
      <c r="BE97">
        <f t="shared" si="39"/>
        <v>1</v>
      </c>
    </row>
    <row r="98" spans="1:57" x14ac:dyDescent="0.3">
      <c r="A98" t="s">
        <v>21</v>
      </c>
      <c r="B98">
        <f t="shared" ref="B98:BA98" si="58">+IF(B60&gt;=$BE$73,1,0)</f>
        <v>0</v>
      </c>
      <c r="C98">
        <f t="shared" si="58"/>
        <v>0</v>
      </c>
      <c r="D98">
        <f t="shared" si="58"/>
        <v>0</v>
      </c>
      <c r="E98">
        <f t="shared" si="58"/>
        <v>0</v>
      </c>
      <c r="F98">
        <f t="shared" si="58"/>
        <v>0</v>
      </c>
      <c r="G98">
        <f t="shared" si="58"/>
        <v>0</v>
      </c>
      <c r="H98">
        <f t="shared" si="58"/>
        <v>0</v>
      </c>
      <c r="I98">
        <f t="shared" si="58"/>
        <v>0</v>
      </c>
      <c r="J98">
        <f t="shared" si="58"/>
        <v>0</v>
      </c>
      <c r="K98">
        <f t="shared" si="58"/>
        <v>0</v>
      </c>
      <c r="L98">
        <f t="shared" si="58"/>
        <v>0</v>
      </c>
      <c r="M98">
        <f t="shared" si="58"/>
        <v>0</v>
      </c>
      <c r="N98">
        <f t="shared" si="58"/>
        <v>0</v>
      </c>
      <c r="O98">
        <f t="shared" si="58"/>
        <v>0</v>
      </c>
      <c r="P98">
        <f t="shared" si="58"/>
        <v>0</v>
      </c>
      <c r="Q98">
        <f t="shared" si="58"/>
        <v>0</v>
      </c>
      <c r="R98">
        <f t="shared" si="58"/>
        <v>0</v>
      </c>
      <c r="S98">
        <f t="shared" si="58"/>
        <v>0</v>
      </c>
      <c r="T98">
        <f t="shared" si="58"/>
        <v>0</v>
      </c>
      <c r="U98">
        <f t="shared" si="58"/>
        <v>0</v>
      </c>
      <c r="V98">
        <f t="shared" si="58"/>
        <v>0</v>
      </c>
      <c r="W98">
        <f t="shared" si="58"/>
        <v>0</v>
      </c>
      <c r="X98">
        <f t="shared" si="58"/>
        <v>0</v>
      </c>
      <c r="Y98">
        <f t="shared" si="58"/>
        <v>0</v>
      </c>
      <c r="Z98">
        <f t="shared" si="58"/>
        <v>0</v>
      </c>
      <c r="AA98">
        <f t="shared" si="58"/>
        <v>0</v>
      </c>
      <c r="AB98">
        <f t="shared" si="58"/>
        <v>0</v>
      </c>
      <c r="AC98">
        <f t="shared" si="58"/>
        <v>0</v>
      </c>
      <c r="AD98">
        <f t="shared" si="58"/>
        <v>0</v>
      </c>
      <c r="AE98">
        <f t="shared" si="58"/>
        <v>1</v>
      </c>
      <c r="AF98">
        <f t="shared" si="58"/>
        <v>1</v>
      </c>
      <c r="AG98">
        <f t="shared" si="58"/>
        <v>1</v>
      </c>
      <c r="AH98">
        <f t="shared" si="58"/>
        <v>1</v>
      </c>
      <c r="AI98">
        <f t="shared" si="58"/>
        <v>1</v>
      </c>
      <c r="AJ98">
        <f t="shared" si="58"/>
        <v>1</v>
      </c>
      <c r="AK98">
        <f t="shared" si="58"/>
        <v>1</v>
      </c>
      <c r="AL98">
        <f t="shared" si="58"/>
        <v>1</v>
      </c>
      <c r="AM98">
        <f t="shared" si="58"/>
        <v>1</v>
      </c>
      <c r="AN98">
        <f t="shared" si="58"/>
        <v>1</v>
      </c>
      <c r="AO98">
        <f t="shared" si="58"/>
        <v>1</v>
      </c>
      <c r="AP98">
        <f t="shared" si="58"/>
        <v>1</v>
      </c>
      <c r="AQ98">
        <f t="shared" si="58"/>
        <v>1</v>
      </c>
      <c r="AR98">
        <f t="shared" si="58"/>
        <v>1</v>
      </c>
      <c r="AS98">
        <f t="shared" si="58"/>
        <v>1</v>
      </c>
      <c r="AT98">
        <f t="shared" si="58"/>
        <v>0</v>
      </c>
      <c r="AU98">
        <f t="shared" si="58"/>
        <v>0</v>
      </c>
      <c r="AV98">
        <f t="shared" si="58"/>
        <v>0</v>
      </c>
      <c r="AW98">
        <f t="shared" si="58"/>
        <v>0</v>
      </c>
      <c r="AX98">
        <f t="shared" si="58"/>
        <v>0</v>
      </c>
      <c r="AY98">
        <f t="shared" si="58"/>
        <v>0</v>
      </c>
      <c r="AZ98">
        <f t="shared" si="58"/>
        <v>0</v>
      </c>
      <c r="BA98">
        <f t="shared" si="58"/>
        <v>0</v>
      </c>
      <c r="BC98" t="s">
        <v>21</v>
      </c>
      <c r="BD98">
        <f t="shared" si="38"/>
        <v>15</v>
      </c>
      <c r="BE98">
        <f t="shared" si="39"/>
        <v>1</v>
      </c>
    </row>
    <row r="99" spans="1:57" x14ac:dyDescent="0.3">
      <c r="A99" t="s">
        <v>22</v>
      </c>
      <c r="B99">
        <f t="shared" ref="B99:BA99" si="59">+IF(B61&gt;=$BE$73,1,0)</f>
        <v>0</v>
      </c>
      <c r="C99">
        <f t="shared" si="59"/>
        <v>0</v>
      </c>
      <c r="D99">
        <f t="shared" si="59"/>
        <v>0</v>
      </c>
      <c r="E99">
        <f t="shared" si="59"/>
        <v>0</v>
      </c>
      <c r="F99">
        <f t="shared" si="59"/>
        <v>0</v>
      </c>
      <c r="G99">
        <f t="shared" si="59"/>
        <v>0</v>
      </c>
      <c r="H99">
        <f t="shared" si="59"/>
        <v>0</v>
      </c>
      <c r="I99">
        <f t="shared" si="59"/>
        <v>0</v>
      </c>
      <c r="J99">
        <f t="shared" si="59"/>
        <v>0</v>
      </c>
      <c r="K99">
        <f t="shared" si="59"/>
        <v>0</v>
      </c>
      <c r="L99">
        <f t="shared" si="59"/>
        <v>0</v>
      </c>
      <c r="M99">
        <f t="shared" si="59"/>
        <v>0</v>
      </c>
      <c r="N99">
        <f t="shared" si="59"/>
        <v>0</v>
      </c>
      <c r="O99">
        <f t="shared" si="59"/>
        <v>0</v>
      </c>
      <c r="P99">
        <f t="shared" si="59"/>
        <v>0</v>
      </c>
      <c r="Q99">
        <f t="shared" si="59"/>
        <v>0</v>
      </c>
      <c r="R99">
        <f t="shared" si="59"/>
        <v>0</v>
      </c>
      <c r="S99">
        <f t="shared" si="59"/>
        <v>0</v>
      </c>
      <c r="T99">
        <f t="shared" si="59"/>
        <v>0</v>
      </c>
      <c r="U99">
        <f t="shared" si="59"/>
        <v>0</v>
      </c>
      <c r="V99">
        <f t="shared" si="59"/>
        <v>0</v>
      </c>
      <c r="W99">
        <f t="shared" si="59"/>
        <v>0</v>
      </c>
      <c r="X99">
        <f t="shared" si="59"/>
        <v>0</v>
      </c>
      <c r="Y99">
        <f t="shared" si="59"/>
        <v>0</v>
      </c>
      <c r="Z99">
        <f t="shared" si="59"/>
        <v>0</v>
      </c>
      <c r="AA99">
        <f t="shared" si="59"/>
        <v>0</v>
      </c>
      <c r="AB99">
        <f t="shared" si="59"/>
        <v>0</v>
      </c>
      <c r="AC99">
        <f t="shared" si="59"/>
        <v>0</v>
      </c>
      <c r="AD99">
        <f t="shared" si="59"/>
        <v>0</v>
      </c>
      <c r="AE99">
        <f t="shared" si="59"/>
        <v>0</v>
      </c>
      <c r="AF99">
        <f t="shared" si="59"/>
        <v>0</v>
      </c>
      <c r="AG99">
        <f t="shared" si="59"/>
        <v>0</v>
      </c>
      <c r="AH99">
        <f t="shared" si="59"/>
        <v>0</v>
      </c>
      <c r="AI99">
        <f t="shared" si="59"/>
        <v>0</v>
      </c>
      <c r="AJ99">
        <f t="shared" si="59"/>
        <v>0</v>
      </c>
      <c r="AK99">
        <f t="shared" si="59"/>
        <v>0</v>
      </c>
      <c r="AL99">
        <f t="shared" si="59"/>
        <v>0</v>
      </c>
      <c r="AM99">
        <f t="shared" si="59"/>
        <v>0</v>
      </c>
      <c r="AN99">
        <f t="shared" si="59"/>
        <v>0</v>
      </c>
      <c r="AO99">
        <f t="shared" si="59"/>
        <v>0</v>
      </c>
      <c r="AP99">
        <f t="shared" si="59"/>
        <v>0</v>
      </c>
      <c r="AQ99">
        <f t="shared" si="59"/>
        <v>0</v>
      </c>
      <c r="AR99">
        <f t="shared" si="59"/>
        <v>0</v>
      </c>
      <c r="AS99">
        <f t="shared" si="59"/>
        <v>0</v>
      </c>
      <c r="AT99">
        <f t="shared" si="59"/>
        <v>0</v>
      </c>
      <c r="AU99">
        <f t="shared" si="59"/>
        <v>0</v>
      </c>
      <c r="AV99">
        <f t="shared" si="59"/>
        <v>0</v>
      </c>
      <c r="AW99">
        <f t="shared" si="59"/>
        <v>0</v>
      </c>
      <c r="AX99">
        <f t="shared" si="59"/>
        <v>0</v>
      </c>
      <c r="AY99">
        <f t="shared" si="59"/>
        <v>0</v>
      </c>
      <c r="AZ99">
        <f t="shared" si="59"/>
        <v>0</v>
      </c>
      <c r="BA99">
        <f t="shared" si="59"/>
        <v>0</v>
      </c>
      <c r="BC99" t="s">
        <v>22</v>
      </c>
      <c r="BD99">
        <f t="shared" si="38"/>
        <v>0</v>
      </c>
      <c r="BE99">
        <f t="shared" si="39"/>
        <v>0</v>
      </c>
    </row>
    <row r="100" spans="1:57" x14ac:dyDescent="0.3">
      <c r="A100" t="s">
        <v>23</v>
      </c>
      <c r="B100">
        <f t="shared" ref="B100:BA100" si="60">+IF(B62&gt;=$BE$73,1,0)</f>
        <v>0</v>
      </c>
      <c r="C100">
        <f t="shared" si="60"/>
        <v>0</v>
      </c>
      <c r="D100">
        <f t="shared" si="60"/>
        <v>0</v>
      </c>
      <c r="E100">
        <f t="shared" si="60"/>
        <v>0</v>
      </c>
      <c r="F100">
        <f t="shared" si="60"/>
        <v>0</v>
      </c>
      <c r="G100">
        <f t="shared" si="60"/>
        <v>0</v>
      </c>
      <c r="H100">
        <f t="shared" si="60"/>
        <v>0</v>
      </c>
      <c r="I100">
        <f t="shared" si="60"/>
        <v>0</v>
      </c>
      <c r="J100">
        <f t="shared" si="60"/>
        <v>0</v>
      </c>
      <c r="K100">
        <f t="shared" si="60"/>
        <v>0</v>
      </c>
      <c r="L100">
        <f t="shared" si="60"/>
        <v>0</v>
      </c>
      <c r="M100">
        <f t="shared" si="60"/>
        <v>0</v>
      </c>
      <c r="N100">
        <f t="shared" si="60"/>
        <v>0</v>
      </c>
      <c r="O100">
        <f t="shared" si="60"/>
        <v>0</v>
      </c>
      <c r="P100">
        <f t="shared" si="60"/>
        <v>0</v>
      </c>
      <c r="Q100">
        <f t="shared" si="60"/>
        <v>0</v>
      </c>
      <c r="R100">
        <f t="shared" si="60"/>
        <v>0</v>
      </c>
      <c r="S100">
        <f t="shared" si="60"/>
        <v>0</v>
      </c>
      <c r="T100">
        <f t="shared" si="60"/>
        <v>0</v>
      </c>
      <c r="U100">
        <f t="shared" si="60"/>
        <v>0</v>
      </c>
      <c r="V100">
        <f t="shared" si="60"/>
        <v>0</v>
      </c>
      <c r="W100">
        <f t="shared" si="60"/>
        <v>0</v>
      </c>
      <c r="X100">
        <f t="shared" si="60"/>
        <v>0</v>
      </c>
      <c r="Y100">
        <f t="shared" si="60"/>
        <v>0</v>
      </c>
      <c r="Z100">
        <f t="shared" si="60"/>
        <v>0</v>
      </c>
      <c r="AA100">
        <f t="shared" si="60"/>
        <v>0</v>
      </c>
      <c r="AB100">
        <f t="shared" si="60"/>
        <v>0</v>
      </c>
      <c r="AC100">
        <f t="shared" si="60"/>
        <v>0</v>
      </c>
      <c r="AD100">
        <f t="shared" si="60"/>
        <v>0</v>
      </c>
      <c r="AE100">
        <f t="shared" si="60"/>
        <v>0</v>
      </c>
      <c r="AF100">
        <f t="shared" si="60"/>
        <v>0</v>
      </c>
      <c r="AG100">
        <f t="shared" si="60"/>
        <v>0</v>
      </c>
      <c r="AH100">
        <f t="shared" si="60"/>
        <v>0</v>
      </c>
      <c r="AI100">
        <f t="shared" si="60"/>
        <v>0</v>
      </c>
      <c r="AJ100">
        <f t="shared" si="60"/>
        <v>0</v>
      </c>
      <c r="AK100">
        <f t="shared" si="60"/>
        <v>0</v>
      </c>
      <c r="AL100">
        <f t="shared" si="60"/>
        <v>0</v>
      </c>
      <c r="AM100">
        <f t="shared" si="60"/>
        <v>0</v>
      </c>
      <c r="AN100">
        <f t="shared" si="60"/>
        <v>0</v>
      </c>
      <c r="AO100">
        <f t="shared" si="60"/>
        <v>0</v>
      </c>
      <c r="AP100">
        <f t="shared" si="60"/>
        <v>0</v>
      </c>
      <c r="AQ100">
        <f t="shared" si="60"/>
        <v>0</v>
      </c>
      <c r="AR100">
        <f t="shared" si="60"/>
        <v>0</v>
      </c>
      <c r="AS100">
        <f t="shared" si="60"/>
        <v>0</v>
      </c>
      <c r="AT100">
        <f t="shared" si="60"/>
        <v>0</v>
      </c>
      <c r="AU100">
        <f t="shared" si="60"/>
        <v>0</v>
      </c>
      <c r="AV100">
        <f t="shared" si="60"/>
        <v>0</v>
      </c>
      <c r="AW100">
        <f t="shared" si="60"/>
        <v>0</v>
      </c>
      <c r="AX100">
        <f t="shared" si="60"/>
        <v>0</v>
      </c>
      <c r="AY100">
        <f t="shared" si="60"/>
        <v>0</v>
      </c>
      <c r="AZ100">
        <f t="shared" si="60"/>
        <v>0</v>
      </c>
      <c r="BA100">
        <f t="shared" si="60"/>
        <v>0</v>
      </c>
      <c r="BC100" t="s">
        <v>23</v>
      </c>
      <c r="BD100">
        <f t="shared" si="38"/>
        <v>0</v>
      </c>
      <c r="BE100">
        <f t="shared" si="39"/>
        <v>0</v>
      </c>
    </row>
    <row r="101" spans="1:57" x14ac:dyDescent="0.3">
      <c r="A101" t="s">
        <v>24</v>
      </c>
      <c r="B101">
        <f t="shared" ref="B101:BA101" si="61">+IF(B63&gt;=$BE$73,1,0)</f>
        <v>0</v>
      </c>
      <c r="C101">
        <f t="shared" si="61"/>
        <v>0</v>
      </c>
      <c r="D101">
        <f t="shared" si="61"/>
        <v>0</v>
      </c>
      <c r="E101">
        <f t="shared" si="61"/>
        <v>0</v>
      </c>
      <c r="F101">
        <f t="shared" si="61"/>
        <v>0</v>
      </c>
      <c r="G101">
        <f t="shared" si="61"/>
        <v>0</v>
      </c>
      <c r="H101">
        <f t="shared" si="61"/>
        <v>0</v>
      </c>
      <c r="I101">
        <f t="shared" si="61"/>
        <v>0</v>
      </c>
      <c r="J101">
        <f t="shared" si="61"/>
        <v>0</v>
      </c>
      <c r="K101">
        <f t="shared" si="61"/>
        <v>0</v>
      </c>
      <c r="L101">
        <f t="shared" si="61"/>
        <v>0</v>
      </c>
      <c r="M101">
        <f t="shared" si="61"/>
        <v>0</v>
      </c>
      <c r="N101">
        <f t="shared" si="61"/>
        <v>0</v>
      </c>
      <c r="O101">
        <f t="shared" si="61"/>
        <v>0</v>
      </c>
      <c r="P101">
        <f t="shared" si="61"/>
        <v>0</v>
      </c>
      <c r="Q101">
        <f t="shared" si="61"/>
        <v>0</v>
      </c>
      <c r="R101">
        <f t="shared" si="61"/>
        <v>0</v>
      </c>
      <c r="S101">
        <f t="shared" si="61"/>
        <v>0</v>
      </c>
      <c r="T101">
        <f t="shared" si="61"/>
        <v>0</v>
      </c>
      <c r="U101">
        <f t="shared" si="61"/>
        <v>0</v>
      </c>
      <c r="V101">
        <f t="shared" si="61"/>
        <v>0</v>
      </c>
      <c r="W101">
        <f t="shared" si="61"/>
        <v>0</v>
      </c>
      <c r="X101">
        <f t="shared" si="61"/>
        <v>0</v>
      </c>
      <c r="Y101">
        <f t="shared" si="61"/>
        <v>0</v>
      </c>
      <c r="Z101">
        <f t="shared" si="61"/>
        <v>0</v>
      </c>
      <c r="AA101">
        <f t="shared" si="61"/>
        <v>0</v>
      </c>
      <c r="AB101">
        <f t="shared" si="61"/>
        <v>0</v>
      </c>
      <c r="AC101">
        <f t="shared" si="61"/>
        <v>0</v>
      </c>
      <c r="AD101">
        <f t="shared" si="61"/>
        <v>0</v>
      </c>
      <c r="AE101">
        <f t="shared" si="61"/>
        <v>0</v>
      </c>
      <c r="AF101">
        <f t="shared" si="61"/>
        <v>0</v>
      </c>
      <c r="AG101">
        <f t="shared" si="61"/>
        <v>0</v>
      </c>
      <c r="AH101">
        <f t="shared" si="61"/>
        <v>0</v>
      </c>
      <c r="AI101">
        <f t="shared" si="61"/>
        <v>0</v>
      </c>
      <c r="AJ101">
        <f t="shared" si="61"/>
        <v>0</v>
      </c>
      <c r="AK101">
        <f t="shared" si="61"/>
        <v>0</v>
      </c>
      <c r="AL101">
        <f t="shared" si="61"/>
        <v>0</v>
      </c>
      <c r="AM101">
        <f t="shared" si="61"/>
        <v>0</v>
      </c>
      <c r="AN101">
        <f t="shared" si="61"/>
        <v>0</v>
      </c>
      <c r="AO101">
        <f t="shared" si="61"/>
        <v>0</v>
      </c>
      <c r="AP101">
        <f t="shared" si="61"/>
        <v>0</v>
      </c>
      <c r="AQ101">
        <f t="shared" si="61"/>
        <v>0</v>
      </c>
      <c r="AR101">
        <f t="shared" si="61"/>
        <v>0</v>
      </c>
      <c r="AS101">
        <f t="shared" si="61"/>
        <v>0</v>
      </c>
      <c r="AT101">
        <f t="shared" si="61"/>
        <v>0</v>
      </c>
      <c r="AU101">
        <f t="shared" si="61"/>
        <v>0</v>
      </c>
      <c r="AV101">
        <f t="shared" si="61"/>
        <v>0</v>
      </c>
      <c r="AW101">
        <f t="shared" si="61"/>
        <v>0</v>
      </c>
      <c r="AX101">
        <f t="shared" si="61"/>
        <v>0</v>
      </c>
      <c r="AY101">
        <f t="shared" si="61"/>
        <v>0</v>
      </c>
      <c r="AZ101">
        <f t="shared" si="61"/>
        <v>0</v>
      </c>
      <c r="BA101">
        <f t="shared" si="61"/>
        <v>0</v>
      </c>
      <c r="BC101" t="s">
        <v>24</v>
      </c>
      <c r="BD101">
        <f t="shared" si="38"/>
        <v>0</v>
      </c>
      <c r="BE101">
        <f t="shared" si="39"/>
        <v>0</v>
      </c>
    </row>
    <row r="102" spans="1:57" x14ac:dyDescent="0.3">
      <c r="A102" t="s">
        <v>25</v>
      </c>
      <c r="B102">
        <f t="shared" ref="B102:BA102" si="62">+IF(B64&gt;=$BE$73,1,0)</f>
        <v>0</v>
      </c>
      <c r="C102">
        <f t="shared" si="62"/>
        <v>0</v>
      </c>
      <c r="D102">
        <f t="shared" si="62"/>
        <v>0</v>
      </c>
      <c r="E102">
        <f t="shared" si="62"/>
        <v>0</v>
      </c>
      <c r="F102">
        <f t="shared" si="62"/>
        <v>0</v>
      </c>
      <c r="G102">
        <f t="shared" si="62"/>
        <v>0</v>
      </c>
      <c r="H102">
        <f t="shared" si="62"/>
        <v>0</v>
      </c>
      <c r="I102">
        <f t="shared" si="62"/>
        <v>0</v>
      </c>
      <c r="J102">
        <f t="shared" si="62"/>
        <v>0</v>
      </c>
      <c r="K102">
        <f t="shared" si="62"/>
        <v>1</v>
      </c>
      <c r="L102">
        <f t="shared" si="62"/>
        <v>0</v>
      </c>
      <c r="M102">
        <f t="shared" si="62"/>
        <v>0</v>
      </c>
      <c r="N102">
        <f t="shared" si="62"/>
        <v>0</v>
      </c>
      <c r="O102">
        <f t="shared" si="62"/>
        <v>0</v>
      </c>
      <c r="P102">
        <f t="shared" si="62"/>
        <v>0</v>
      </c>
      <c r="Q102">
        <f t="shared" si="62"/>
        <v>0</v>
      </c>
      <c r="R102">
        <f t="shared" si="62"/>
        <v>0</v>
      </c>
      <c r="S102">
        <f t="shared" si="62"/>
        <v>0</v>
      </c>
      <c r="T102">
        <f t="shared" si="62"/>
        <v>0</v>
      </c>
      <c r="U102">
        <f t="shared" si="62"/>
        <v>0</v>
      </c>
      <c r="V102">
        <f t="shared" si="62"/>
        <v>0</v>
      </c>
      <c r="W102">
        <f t="shared" si="62"/>
        <v>0</v>
      </c>
      <c r="X102">
        <f t="shared" si="62"/>
        <v>0</v>
      </c>
      <c r="Y102">
        <f t="shared" si="62"/>
        <v>0</v>
      </c>
      <c r="Z102">
        <f t="shared" si="62"/>
        <v>0</v>
      </c>
      <c r="AA102">
        <f t="shared" si="62"/>
        <v>0</v>
      </c>
      <c r="AB102">
        <f t="shared" si="62"/>
        <v>0</v>
      </c>
      <c r="AC102">
        <f t="shared" si="62"/>
        <v>0</v>
      </c>
      <c r="AD102">
        <f t="shared" si="62"/>
        <v>0</v>
      </c>
      <c r="AE102">
        <f t="shared" si="62"/>
        <v>0</v>
      </c>
      <c r="AF102">
        <f t="shared" si="62"/>
        <v>0</v>
      </c>
      <c r="AG102">
        <f t="shared" si="62"/>
        <v>0</v>
      </c>
      <c r="AH102">
        <f t="shared" si="62"/>
        <v>0</v>
      </c>
      <c r="AI102">
        <f t="shared" si="62"/>
        <v>0</v>
      </c>
      <c r="AJ102">
        <f t="shared" si="62"/>
        <v>0</v>
      </c>
      <c r="AK102">
        <f t="shared" si="62"/>
        <v>0</v>
      </c>
      <c r="AL102">
        <f t="shared" si="62"/>
        <v>0</v>
      </c>
      <c r="AM102">
        <f t="shared" si="62"/>
        <v>0</v>
      </c>
      <c r="AN102">
        <f t="shared" si="62"/>
        <v>0</v>
      </c>
      <c r="AO102">
        <f t="shared" si="62"/>
        <v>0</v>
      </c>
      <c r="AP102">
        <f t="shared" si="62"/>
        <v>0</v>
      </c>
      <c r="AQ102">
        <f t="shared" si="62"/>
        <v>0</v>
      </c>
      <c r="AR102">
        <f t="shared" si="62"/>
        <v>0</v>
      </c>
      <c r="AS102">
        <f t="shared" si="62"/>
        <v>0</v>
      </c>
      <c r="AT102">
        <f t="shared" si="62"/>
        <v>0</v>
      </c>
      <c r="AU102">
        <f t="shared" si="62"/>
        <v>0</v>
      </c>
      <c r="AV102">
        <f t="shared" si="62"/>
        <v>0</v>
      </c>
      <c r="AW102">
        <f t="shared" si="62"/>
        <v>0</v>
      </c>
      <c r="AX102">
        <f t="shared" si="62"/>
        <v>0</v>
      </c>
      <c r="AY102">
        <f t="shared" si="62"/>
        <v>0</v>
      </c>
      <c r="AZ102">
        <f t="shared" si="62"/>
        <v>0</v>
      </c>
      <c r="BA102">
        <f t="shared" si="62"/>
        <v>0</v>
      </c>
      <c r="BC102" t="s">
        <v>25</v>
      </c>
      <c r="BD102">
        <f t="shared" si="38"/>
        <v>1</v>
      </c>
      <c r="BE102">
        <f t="shared" si="39"/>
        <v>1</v>
      </c>
    </row>
    <row r="103" spans="1:57" x14ac:dyDescent="0.3">
      <c r="A103" t="s">
        <v>26</v>
      </c>
      <c r="B103">
        <f t="shared" ref="B103:BA103" si="63">+IF(B65&gt;=$BE$73,1,0)</f>
        <v>0</v>
      </c>
      <c r="C103">
        <f t="shared" si="63"/>
        <v>0</v>
      </c>
      <c r="D103">
        <f t="shared" si="63"/>
        <v>0</v>
      </c>
      <c r="E103">
        <f t="shared" si="63"/>
        <v>0</v>
      </c>
      <c r="F103">
        <f t="shared" si="63"/>
        <v>0</v>
      </c>
      <c r="G103">
        <f t="shared" si="63"/>
        <v>0</v>
      </c>
      <c r="H103">
        <f t="shared" si="63"/>
        <v>0</v>
      </c>
      <c r="I103">
        <f t="shared" si="63"/>
        <v>0</v>
      </c>
      <c r="J103">
        <f t="shared" si="63"/>
        <v>0</v>
      </c>
      <c r="K103">
        <f t="shared" si="63"/>
        <v>0</v>
      </c>
      <c r="L103">
        <f t="shared" si="63"/>
        <v>0</v>
      </c>
      <c r="M103">
        <f t="shared" si="63"/>
        <v>0</v>
      </c>
      <c r="N103">
        <f t="shared" si="63"/>
        <v>0</v>
      </c>
      <c r="O103">
        <f t="shared" si="63"/>
        <v>0</v>
      </c>
      <c r="P103">
        <f t="shared" si="63"/>
        <v>0</v>
      </c>
      <c r="Q103">
        <f t="shared" si="63"/>
        <v>0</v>
      </c>
      <c r="R103">
        <f t="shared" si="63"/>
        <v>0</v>
      </c>
      <c r="S103">
        <f t="shared" si="63"/>
        <v>0</v>
      </c>
      <c r="T103">
        <f t="shared" si="63"/>
        <v>0</v>
      </c>
      <c r="U103">
        <f t="shared" si="63"/>
        <v>0</v>
      </c>
      <c r="V103">
        <f t="shared" si="63"/>
        <v>0</v>
      </c>
      <c r="W103">
        <f t="shared" si="63"/>
        <v>0</v>
      </c>
      <c r="X103">
        <f t="shared" si="63"/>
        <v>0</v>
      </c>
      <c r="Y103">
        <f t="shared" si="63"/>
        <v>0</v>
      </c>
      <c r="Z103">
        <f t="shared" si="63"/>
        <v>0</v>
      </c>
      <c r="AA103">
        <f t="shared" si="63"/>
        <v>0</v>
      </c>
      <c r="AB103">
        <f t="shared" si="63"/>
        <v>0</v>
      </c>
      <c r="AC103">
        <f t="shared" si="63"/>
        <v>0</v>
      </c>
      <c r="AD103">
        <f t="shared" si="63"/>
        <v>0</v>
      </c>
      <c r="AE103">
        <f t="shared" si="63"/>
        <v>0</v>
      </c>
      <c r="AF103">
        <f t="shared" si="63"/>
        <v>0</v>
      </c>
      <c r="AG103">
        <f t="shared" si="63"/>
        <v>0</v>
      </c>
      <c r="AH103">
        <f t="shared" si="63"/>
        <v>0</v>
      </c>
      <c r="AI103">
        <f t="shared" si="63"/>
        <v>0</v>
      </c>
      <c r="AJ103">
        <f t="shared" si="63"/>
        <v>0</v>
      </c>
      <c r="AK103">
        <f t="shared" si="63"/>
        <v>0</v>
      </c>
      <c r="AL103">
        <f t="shared" si="63"/>
        <v>0</v>
      </c>
      <c r="AM103">
        <f t="shared" si="63"/>
        <v>0</v>
      </c>
      <c r="AN103">
        <f t="shared" si="63"/>
        <v>0</v>
      </c>
      <c r="AO103">
        <f t="shared" si="63"/>
        <v>0</v>
      </c>
      <c r="AP103">
        <f t="shared" si="63"/>
        <v>0</v>
      </c>
      <c r="AQ103">
        <f t="shared" si="63"/>
        <v>0</v>
      </c>
      <c r="AR103">
        <f t="shared" si="63"/>
        <v>0</v>
      </c>
      <c r="AS103">
        <f t="shared" si="63"/>
        <v>0</v>
      </c>
      <c r="AT103">
        <f t="shared" si="63"/>
        <v>0</v>
      </c>
      <c r="AU103">
        <f t="shared" si="63"/>
        <v>0</v>
      </c>
      <c r="AV103">
        <f t="shared" si="63"/>
        <v>0</v>
      </c>
      <c r="AW103">
        <f t="shared" si="63"/>
        <v>0</v>
      </c>
      <c r="AX103">
        <f t="shared" si="63"/>
        <v>0</v>
      </c>
      <c r="AY103">
        <f t="shared" si="63"/>
        <v>0</v>
      </c>
      <c r="AZ103">
        <f t="shared" si="63"/>
        <v>0</v>
      </c>
      <c r="BA103">
        <f t="shared" si="63"/>
        <v>0</v>
      </c>
      <c r="BC103" t="s">
        <v>26</v>
      </c>
      <c r="BD103">
        <f t="shared" si="38"/>
        <v>0</v>
      </c>
      <c r="BE103">
        <f t="shared" si="39"/>
        <v>0</v>
      </c>
    </row>
    <row r="104" spans="1:57" x14ac:dyDescent="0.3">
      <c r="A104" t="s">
        <v>27</v>
      </c>
      <c r="B104">
        <f t="shared" ref="B104:BA104" si="64">+IF(B66&gt;=$BE$73,1,0)</f>
        <v>0</v>
      </c>
      <c r="C104">
        <f t="shared" si="64"/>
        <v>0</v>
      </c>
      <c r="D104">
        <f t="shared" si="64"/>
        <v>0</v>
      </c>
      <c r="E104">
        <f t="shared" si="64"/>
        <v>0</v>
      </c>
      <c r="F104">
        <f t="shared" si="64"/>
        <v>0</v>
      </c>
      <c r="G104">
        <f t="shared" si="64"/>
        <v>0</v>
      </c>
      <c r="H104">
        <f t="shared" si="64"/>
        <v>0</v>
      </c>
      <c r="I104">
        <f t="shared" si="64"/>
        <v>0</v>
      </c>
      <c r="J104">
        <f t="shared" si="64"/>
        <v>0</v>
      </c>
      <c r="K104">
        <f t="shared" si="64"/>
        <v>0</v>
      </c>
      <c r="L104">
        <f t="shared" si="64"/>
        <v>0</v>
      </c>
      <c r="M104">
        <f t="shared" si="64"/>
        <v>0</v>
      </c>
      <c r="N104">
        <f t="shared" si="64"/>
        <v>0</v>
      </c>
      <c r="O104">
        <f t="shared" si="64"/>
        <v>0</v>
      </c>
      <c r="P104">
        <f t="shared" si="64"/>
        <v>0</v>
      </c>
      <c r="Q104">
        <f t="shared" si="64"/>
        <v>0</v>
      </c>
      <c r="R104">
        <f t="shared" si="64"/>
        <v>0</v>
      </c>
      <c r="S104">
        <f t="shared" si="64"/>
        <v>0</v>
      </c>
      <c r="T104">
        <f t="shared" si="64"/>
        <v>0</v>
      </c>
      <c r="U104">
        <f t="shared" si="64"/>
        <v>0</v>
      </c>
      <c r="V104">
        <f t="shared" si="64"/>
        <v>0</v>
      </c>
      <c r="W104">
        <f t="shared" si="64"/>
        <v>0</v>
      </c>
      <c r="X104">
        <f t="shared" si="64"/>
        <v>0</v>
      </c>
      <c r="Y104">
        <f t="shared" si="64"/>
        <v>0</v>
      </c>
      <c r="Z104">
        <f t="shared" si="64"/>
        <v>0</v>
      </c>
      <c r="AA104">
        <f t="shared" si="64"/>
        <v>0</v>
      </c>
      <c r="AB104">
        <f t="shared" si="64"/>
        <v>0</v>
      </c>
      <c r="AC104">
        <f t="shared" si="64"/>
        <v>0</v>
      </c>
      <c r="AD104">
        <f t="shared" si="64"/>
        <v>0</v>
      </c>
      <c r="AE104">
        <f t="shared" si="64"/>
        <v>0</v>
      </c>
      <c r="AF104">
        <f t="shared" si="64"/>
        <v>0</v>
      </c>
      <c r="AG104">
        <f t="shared" si="64"/>
        <v>0</v>
      </c>
      <c r="AH104">
        <f t="shared" si="64"/>
        <v>0</v>
      </c>
      <c r="AI104">
        <f t="shared" si="64"/>
        <v>0</v>
      </c>
      <c r="AJ104">
        <f t="shared" si="64"/>
        <v>0</v>
      </c>
      <c r="AK104">
        <f t="shared" si="64"/>
        <v>0</v>
      </c>
      <c r="AL104">
        <f t="shared" si="64"/>
        <v>0</v>
      </c>
      <c r="AM104">
        <f t="shared" si="64"/>
        <v>0</v>
      </c>
      <c r="AN104">
        <f t="shared" si="64"/>
        <v>0</v>
      </c>
      <c r="AO104">
        <f t="shared" si="64"/>
        <v>0</v>
      </c>
      <c r="AP104">
        <f t="shared" si="64"/>
        <v>0</v>
      </c>
      <c r="AQ104">
        <f t="shared" si="64"/>
        <v>0</v>
      </c>
      <c r="AR104">
        <f t="shared" si="64"/>
        <v>0</v>
      </c>
      <c r="AS104">
        <f t="shared" si="64"/>
        <v>0</v>
      </c>
      <c r="AT104">
        <f t="shared" si="64"/>
        <v>0</v>
      </c>
      <c r="AU104">
        <f t="shared" si="64"/>
        <v>0</v>
      </c>
      <c r="AV104">
        <f t="shared" si="64"/>
        <v>0</v>
      </c>
      <c r="AW104">
        <f t="shared" si="64"/>
        <v>0</v>
      </c>
      <c r="AX104">
        <f t="shared" si="64"/>
        <v>0</v>
      </c>
      <c r="AY104">
        <f t="shared" si="64"/>
        <v>0</v>
      </c>
      <c r="AZ104">
        <f t="shared" si="64"/>
        <v>0</v>
      </c>
      <c r="BA104">
        <f t="shared" si="64"/>
        <v>0</v>
      </c>
      <c r="BC104" t="s">
        <v>27</v>
      </c>
      <c r="BD104">
        <f t="shared" si="38"/>
        <v>0</v>
      </c>
      <c r="BE104">
        <f t="shared" si="39"/>
        <v>0</v>
      </c>
    </row>
    <row r="105" spans="1:57" x14ac:dyDescent="0.3">
      <c r="A105" t="s">
        <v>28</v>
      </c>
      <c r="B105">
        <f t="shared" ref="B105:BA105" si="65">+IF(B67&gt;=$BE$73,1,0)</f>
        <v>1</v>
      </c>
      <c r="C105">
        <f t="shared" si="65"/>
        <v>1</v>
      </c>
      <c r="D105">
        <f t="shared" si="65"/>
        <v>1</v>
      </c>
      <c r="E105">
        <f t="shared" si="65"/>
        <v>1</v>
      </c>
      <c r="F105">
        <f t="shared" si="65"/>
        <v>0</v>
      </c>
      <c r="G105">
        <f t="shared" si="65"/>
        <v>0</v>
      </c>
      <c r="H105">
        <f t="shared" si="65"/>
        <v>0</v>
      </c>
      <c r="I105">
        <f t="shared" si="65"/>
        <v>0</v>
      </c>
      <c r="J105">
        <f t="shared" si="65"/>
        <v>0</v>
      </c>
      <c r="K105">
        <f t="shared" si="65"/>
        <v>0</v>
      </c>
      <c r="L105">
        <f t="shared" si="65"/>
        <v>0</v>
      </c>
      <c r="M105">
        <f t="shared" si="65"/>
        <v>0</v>
      </c>
      <c r="N105">
        <f t="shared" si="65"/>
        <v>0</v>
      </c>
      <c r="O105">
        <f t="shared" si="65"/>
        <v>0</v>
      </c>
      <c r="P105">
        <f t="shared" si="65"/>
        <v>0</v>
      </c>
      <c r="Q105">
        <f t="shared" si="65"/>
        <v>0</v>
      </c>
      <c r="R105">
        <f t="shared" si="65"/>
        <v>0</v>
      </c>
      <c r="S105">
        <f t="shared" si="65"/>
        <v>0</v>
      </c>
      <c r="T105">
        <f t="shared" si="65"/>
        <v>0</v>
      </c>
      <c r="U105">
        <f t="shared" si="65"/>
        <v>0</v>
      </c>
      <c r="V105">
        <f t="shared" si="65"/>
        <v>0</v>
      </c>
      <c r="W105">
        <f t="shared" si="65"/>
        <v>0</v>
      </c>
      <c r="X105">
        <f t="shared" si="65"/>
        <v>0</v>
      </c>
      <c r="Y105">
        <f t="shared" si="65"/>
        <v>0</v>
      </c>
      <c r="Z105">
        <f t="shared" si="65"/>
        <v>0</v>
      </c>
      <c r="AA105">
        <f t="shared" si="65"/>
        <v>0</v>
      </c>
      <c r="AB105">
        <f t="shared" si="65"/>
        <v>0</v>
      </c>
      <c r="AC105">
        <f t="shared" si="65"/>
        <v>0</v>
      </c>
      <c r="AD105">
        <f t="shared" si="65"/>
        <v>0</v>
      </c>
      <c r="AE105">
        <f t="shared" si="65"/>
        <v>0</v>
      </c>
      <c r="AF105">
        <f t="shared" si="65"/>
        <v>0</v>
      </c>
      <c r="AG105">
        <f t="shared" si="65"/>
        <v>0</v>
      </c>
      <c r="AH105">
        <f t="shared" si="65"/>
        <v>0</v>
      </c>
      <c r="AI105">
        <f t="shared" si="65"/>
        <v>0</v>
      </c>
      <c r="AJ105">
        <f t="shared" si="65"/>
        <v>0</v>
      </c>
      <c r="AK105">
        <f t="shared" si="65"/>
        <v>0</v>
      </c>
      <c r="AL105">
        <f t="shared" si="65"/>
        <v>0</v>
      </c>
      <c r="AM105">
        <f t="shared" si="65"/>
        <v>0</v>
      </c>
      <c r="AN105">
        <f t="shared" si="65"/>
        <v>0</v>
      </c>
      <c r="AO105">
        <f t="shared" si="65"/>
        <v>0</v>
      </c>
      <c r="AP105">
        <f t="shared" si="65"/>
        <v>0</v>
      </c>
      <c r="AQ105">
        <f t="shared" si="65"/>
        <v>0</v>
      </c>
      <c r="AR105">
        <f t="shared" si="65"/>
        <v>0</v>
      </c>
      <c r="AS105">
        <f t="shared" si="65"/>
        <v>0</v>
      </c>
      <c r="AT105">
        <f t="shared" si="65"/>
        <v>0</v>
      </c>
      <c r="AU105">
        <f t="shared" si="65"/>
        <v>0</v>
      </c>
      <c r="AV105">
        <f t="shared" si="65"/>
        <v>0</v>
      </c>
      <c r="AW105">
        <f t="shared" si="65"/>
        <v>0</v>
      </c>
      <c r="AX105">
        <f t="shared" si="65"/>
        <v>0</v>
      </c>
      <c r="AY105">
        <f t="shared" si="65"/>
        <v>0</v>
      </c>
      <c r="AZ105">
        <f t="shared" si="65"/>
        <v>0</v>
      </c>
      <c r="BA105">
        <f t="shared" si="65"/>
        <v>0</v>
      </c>
      <c r="BC105" t="s">
        <v>28</v>
      </c>
      <c r="BD105">
        <f t="shared" si="38"/>
        <v>4</v>
      </c>
      <c r="BE105">
        <f t="shared" si="39"/>
        <v>1</v>
      </c>
    </row>
    <row r="106" spans="1:57" x14ac:dyDescent="0.3">
      <c r="A106" t="s">
        <v>29</v>
      </c>
      <c r="B106">
        <f t="shared" ref="B106:BA106" si="66">+IF(B68&gt;=$BE$73,1,0)</f>
        <v>0</v>
      </c>
      <c r="C106">
        <f t="shared" si="66"/>
        <v>0</v>
      </c>
      <c r="D106">
        <f t="shared" si="66"/>
        <v>0</v>
      </c>
      <c r="E106">
        <f t="shared" si="66"/>
        <v>0</v>
      </c>
      <c r="F106">
        <f t="shared" si="66"/>
        <v>0</v>
      </c>
      <c r="G106">
        <f t="shared" si="66"/>
        <v>0</v>
      </c>
      <c r="H106">
        <f t="shared" si="66"/>
        <v>0</v>
      </c>
      <c r="I106">
        <f t="shared" si="66"/>
        <v>0</v>
      </c>
      <c r="J106">
        <f t="shared" si="66"/>
        <v>0</v>
      </c>
      <c r="K106">
        <f t="shared" si="66"/>
        <v>0</v>
      </c>
      <c r="L106">
        <f t="shared" si="66"/>
        <v>0</v>
      </c>
      <c r="M106">
        <f t="shared" si="66"/>
        <v>0</v>
      </c>
      <c r="N106">
        <f t="shared" si="66"/>
        <v>0</v>
      </c>
      <c r="O106">
        <f t="shared" si="66"/>
        <v>0</v>
      </c>
      <c r="P106">
        <f t="shared" si="66"/>
        <v>0</v>
      </c>
      <c r="Q106">
        <f t="shared" si="66"/>
        <v>0</v>
      </c>
      <c r="R106">
        <f t="shared" si="66"/>
        <v>0</v>
      </c>
      <c r="S106">
        <f t="shared" si="66"/>
        <v>0</v>
      </c>
      <c r="T106">
        <f t="shared" si="66"/>
        <v>0</v>
      </c>
      <c r="U106">
        <f t="shared" si="66"/>
        <v>0</v>
      </c>
      <c r="V106">
        <f t="shared" si="66"/>
        <v>0</v>
      </c>
      <c r="W106">
        <f t="shared" si="66"/>
        <v>0</v>
      </c>
      <c r="X106">
        <f t="shared" si="66"/>
        <v>0</v>
      </c>
      <c r="Y106">
        <f t="shared" si="66"/>
        <v>0</v>
      </c>
      <c r="Z106">
        <f t="shared" si="66"/>
        <v>0</v>
      </c>
      <c r="AA106">
        <f t="shared" si="66"/>
        <v>0</v>
      </c>
      <c r="AB106">
        <f t="shared" si="66"/>
        <v>0</v>
      </c>
      <c r="AC106">
        <f t="shared" si="66"/>
        <v>0</v>
      </c>
      <c r="AD106">
        <f t="shared" si="66"/>
        <v>0</v>
      </c>
      <c r="AE106">
        <f t="shared" si="66"/>
        <v>0</v>
      </c>
      <c r="AF106">
        <f t="shared" si="66"/>
        <v>0</v>
      </c>
      <c r="AG106">
        <f t="shared" si="66"/>
        <v>0</v>
      </c>
      <c r="AH106">
        <f t="shared" si="66"/>
        <v>0</v>
      </c>
      <c r="AI106">
        <f t="shared" si="66"/>
        <v>0</v>
      </c>
      <c r="AJ106">
        <f t="shared" si="66"/>
        <v>0</v>
      </c>
      <c r="AK106">
        <f t="shared" si="66"/>
        <v>0</v>
      </c>
      <c r="AL106">
        <f t="shared" si="66"/>
        <v>0</v>
      </c>
      <c r="AM106">
        <f t="shared" si="66"/>
        <v>0</v>
      </c>
      <c r="AN106">
        <f t="shared" si="66"/>
        <v>0</v>
      </c>
      <c r="AO106">
        <f t="shared" si="66"/>
        <v>0</v>
      </c>
      <c r="AP106">
        <f t="shared" si="66"/>
        <v>0</v>
      </c>
      <c r="AQ106">
        <f t="shared" si="66"/>
        <v>0</v>
      </c>
      <c r="AR106">
        <f t="shared" si="66"/>
        <v>0</v>
      </c>
      <c r="AS106">
        <f t="shared" si="66"/>
        <v>0</v>
      </c>
      <c r="AT106">
        <f t="shared" si="66"/>
        <v>0</v>
      </c>
      <c r="AU106">
        <f t="shared" si="66"/>
        <v>0</v>
      </c>
      <c r="AV106">
        <f t="shared" si="66"/>
        <v>0</v>
      </c>
      <c r="AW106">
        <f t="shared" si="66"/>
        <v>0</v>
      </c>
      <c r="AX106">
        <f t="shared" si="66"/>
        <v>0</v>
      </c>
      <c r="AY106">
        <f t="shared" si="66"/>
        <v>0</v>
      </c>
      <c r="AZ106">
        <f t="shared" si="66"/>
        <v>0</v>
      </c>
      <c r="BA106">
        <f t="shared" si="66"/>
        <v>0</v>
      </c>
      <c r="BC106" t="s">
        <v>29</v>
      </c>
      <c r="BD106">
        <f t="shared" si="38"/>
        <v>0</v>
      </c>
      <c r="BE106">
        <f t="shared" si="39"/>
        <v>0</v>
      </c>
    </row>
    <row r="107" spans="1:57" x14ac:dyDescent="0.3">
      <c r="A107" t="s">
        <v>30</v>
      </c>
      <c r="B107">
        <f t="shared" ref="B107:BA107" si="67">+IF(B69&gt;=$BE$73,1,0)</f>
        <v>0</v>
      </c>
      <c r="C107">
        <f t="shared" si="67"/>
        <v>0</v>
      </c>
      <c r="D107">
        <f t="shared" si="67"/>
        <v>0</v>
      </c>
      <c r="E107">
        <f t="shared" si="67"/>
        <v>0</v>
      </c>
      <c r="F107">
        <f t="shared" si="67"/>
        <v>0</v>
      </c>
      <c r="G107">
        <f t="shared" si="67"/>
        <v>0</v>
      </c>
      <c r="H107">
        <f t="shared" si="67"/>
        <v>0</v>
      </c>
      <c r="I107">
        <f t="shared" si="67"/>
        <v>0</v>
      </c>
      <c r="J107">
        <f t="shared" si="67"/>
        <v>0</v>
      </c>
      <c r="K107">
        <f t="shared" si="67"/>
        <v>0</v>
      </c>
      <c r="L107">
        <f t="shared" si="67"/>
        <v>0</v>
      </c>
      <c r="M107">
        <f t="shared" si="67"/>
        <v>0</v>
      </c>
      <c r="N107">
        <f t="shared" si="67"/>
        <v>0</v>
      </c>
      <c r="O107">
        <f t="shared" si="67"/>
        <v>0</v>
      </c>
      <c r="P107">
        <f t="shared" si="67"/>
        <v>0</v>
      </c>
      <c r="Q107">
        <f t="shared" si="67"/>
        <v>0</v>
      </c>
      <c r="R107">
        <f t="shared" si="67"/>
        <v>0</v>
      </c>
      <c r="S107">
        <f t="shared" si="67"/>
        <v>0</v>
      </c>
      <c r="T107">
        <f t="shared" si="67"/>
        <v>0</v>
      </c>
      <c r="U107">
        <f t="shared" si="67"/>
        <v>0</v>
      </c>
      <c r="V107">
        <f t="shared" si="67"/>
        <v>0</v>
      </c>
      <c r="W107">
        <f t="shared" si="67"/>
        <v>0</v>
      </c>
      <c r="X107">
        <f t="shared" si="67"/>
        <v>0</v>
      </c>
      <c r="Y107">
        <f t="shared" si="67"/>
        <v>0</v>
      </c>
      <c r="Z107">
        <f t="shared" si="67"/>
        <v>0</v>
      </c>
      <c r="AA107">
        <f t="shared" si="67"/>
        <v>0</v>
      </c>
      <c r="AB107">
        <f t="shared" si="67"/>
        <v>0</v>
      </c>
      <c r="AC107">
        <f t="shared" si="67"/>
        <v>0</v>
      </c>
      <c r="AD107">
        <f t="shared" si="67"/>
        <v>0</v>
      </c>
      <c r="AE107">
        <f t="shared" si="67"/>
        <v>0</v>
      </c>
      <c r="AF107">
        <f t="shared" si="67"/>
        <v>0</v>
      </c>
      <c r="AG107">
        <f t="shared" si="67"/>
        <v>0</v>
      </c>
      <c r="AH107">
        <f t="shared" si="67"/>
        <v>0</v>
      </c>
      <c r="AI107">
        <f t="shared" si="67"/>
        <v>0</v>
      </c>
      <c r="AJ107">
        <f t="shared" si="67"/>
        <v>0</v>
      </c>
      <c r="AK107">
        <f t="shared" si="67"/>
        <v>0</v>
      </c>
      <c r="AL107">
        <f t="shared" si="67"/>
        <v>0</v>
      </c>
      <c r="AM107">
        <f t="shared" si="67"/>
        <v>0</v>
      </c>
      <c r="AN107">
        <f t="shared" si="67"/>
        <v>0</v>
      </c>
      <c r="AO107">
        <f t="shared" si="67"/>
        <v>0</v>
      </c>
      <c r="AP107">
        <f t="shared" si="67"/>
        <v>0</v>
      </c>
      <c r="AQ107">
        <f t="shared" si="67"/>
        <v>0</v>
      </c>
      <c r="AR107">
        <f t="shared" si="67"/>
        <v>0</v>
      </c>
      <c r="AS107">
        <f t="shared" si="67"/>
        <v>0</v>
      </c>
      <c r="AT107">
        <f t="shared" si="67"/>
        <v>0</v>
      </c>
      <c r="AU107">
        <f t="shared" si="67"/>
        <v>0</v>
      </c>
      <c r="AV107">
        <f t="shared" si="67"/>
        <v>0</v>
      </c>
      <c r="AW107">
        <f t="shared" si="67"/>
        <v>0</v>
      </c>
      <c r="AX107">
        <f t="shared" si="67"/>
        <v>0</v>
      </c>
      <c r="AY107">
        <f t="shared" si="67"/>
        <v>0</v>
      </c>
      <c r="AZ107">
        <f t="shared" si="67"/>
        <v>0</v>
      </c>
      <c r="BA107">
        <f t="shared" si="67"/>
        <v>0</v>
      </c>
      <c r="BC107" t="s">
        <v>30</v>
      </c>
      <c r="BD107">
        <f t="shared" si="38"/>
        <v>0</v>
      </c>
      <c r="BE107">
        <f t="shared" si="39"/>
        <v>0</v>
      </c>
    </row>
    <row r="108" spans="1:57" x14ac:dyDescent="0.3">
      <c r="A108" t="s">
        <v>31</v>
      </c>
      <c r="B108">
        <f t="shared" ref="B108:BA108" si="68">+IF(B70&gt;=$BE$73,1,0)</f>
        <v>0</v>
      </c>
      <c r="C108">
        <f t="shared" si="68"/>
        <v>0</v>
      </c>
      <c r="D108">
        <f t="shared" si="68"/>
        <v>0</v>
      </c>
      <c r="E108">
        <f t="shared" si="68"/>
        <v>0</v>
      </c>
      <c r="F108">
        <f t="shared" si="68"/>
        <v>0</v>
      </c>
      <c r="G108">
        <f t="shared" si="68"/>
        <v>0</v>
      </c>
      <c r="H108">
        <f t="shared" si="68"/>
        <v>0</v>
      </c>
      <c r="I108">
        <f t="shared" si="68"/>
        <v>0</v>
      </c>
      <c r="J108">
        <f t="shared" si="68"/>
        <v>0</v>
      </c>
      <c r="K108">
        <f t="shared" si="68"/>
        <v>0</v>
      </c>
      <c r="L108">
        <f t="shared" si="68"/>
        <v>0</v>
      </c>
      <c r="M108">
        <f t="shared" si="68"/>
        <v>0</v>
      </c>
      <c r="N108">
        <f t="shared" si="68"/>
        <v>0</v>
      </c>
      <c r="O108">
        <f t="shared" si="68"/>
        <v>0</v>
      </c>
      <c r="P108">
        <f t="shared" si="68"/>
        <v>0</v>
      </c>
      <c r="Q108">
        <f t="shared" si="68"/>
        <v>0</v>
      </c>
      <c r="R108">
        <f t="shared" si="68"/>
        <v>0</v>
      </c>
      <c r="S108">
        <f t="shared" si="68"/>
        <v>0</v>
      </c>
      <c r="T108">
        <f t="shared" si="68"/>
        <v>0</v>
      </c>
      <c r="U108">
        <f t="shared" si="68"/>
        <v>0</v>
      </c>
      <c r="V108">
        <f t="shared" si="68"/>
        <v>0</v>
      </c>
      <c r="W108">
        <f t="shared" si="68"/>
        <v>0</v>
      </c>
      <c r="X108">
        <f t="shared" si="68"/>
        <v>0</v>
      </c>
      <c r="Y108">
        <f t="shared" si="68"/>
        <v>0</v>
      </c>
      <c r="Z108">
        <f t="shared" si="68"/>
        <v>0</v>
      </c>
      <c r="AA108">
        <f t="shared" si="68"/>
        <v>0</v>
      </c>
      <c r="AB108">
        <f t="shared" si="68"/>
        <v>0</v>
      </c>
      <c r="AC108">
        <f t="shared" si="68"/>
        <v>0</v>
      </c>
      <c r="AD108">
        <f t="shared" si="68"/>
        <v>0</v>
      </c>
      <c r="AE108">
        <f t="shared" si="68"/>
        <v>0</v>
      </c>
      <c r="AF108">
        <f t="shared" si="68"/>
        <v>0</v>
      </c>
      <c r="AG108">
        <f t="shared" si="68"/>
        <v>0</v>
      </c>
      <c r="AH108">
        <f t="shared" si="68"/>
        <v>0</v>
      </c>
      <c r="AI108">
        <f t="shared" si="68"/>
        <v>0</v>
      </c>
      <c r="AJ108">
        <f t="shared" si="68"/>
        <v>0</v>
      </c>
      <c r="AK108">
        <f t="shared" si="68"/>
        <v>0</v>
      </c>
      <c r="AL108">
        <f t="shared" si="68"/>
        <v>0</v>
      </c>
      <c r="AM108">
        <f t="shared" si="68"/>
        <v>0</v>
      </c>
      <c r="AN108">
        <f t="shared" si="68"/>
        <v>0</v>
      </c>
      <c r="AO108">
        <f t="shared" si="68"/>
        <v>0</v>
      </c>
      <c r="AP108">
        <f t="shared" si="68"/>
        <v>0</v>
      </c>
      <c r="AQ108">
        <f t="shared" si="68"/>
        <v>0</v>
      </c>
      <c r="AR108">
        <f t="shared" si="68"/>
        <v>0</v>
      </c>
      <c r="AS108">
        <f t="shared" si="68"/>
        <v>0</v>
      </c>
      <c r="AT108">
        <f t="shared" si="68"/>
        <v>0</v>
      </c>
      <c r="AU108">
        <f t="shared" si="68"/>
        <v>0</v>
      </c>
      <c r="AV108">
        <f t="shared" si="68"/>
        <v>0</v>
      </c>
      <c r="AW108">
        <f t="shared" si="68"/>
        <v>0</v>
      </c>
      <c r="AX108">
        <f t="shared" si="68"/>
        <v>0</v>
      </c>
      <c r="AY108">
        <f t="shared" si="68"/>
        <v>0</v>
      </c>
      <c r="AZ108">
        <f t="shared" si="68"/>
        <v>0</v>
      </c>
      <c r="BA108">
        <f t="shared" si="68"/>
        <v>0</v>
      </c>
      <c r="BC108" t="s">
        <v>31</v>
      </c>
      <c r="BD108">
        <f t="shared" si="38"/>
        <v>0</v>
      </c>
      <c r="BE108">
        <f t="shared" si="39"/>
        <v>0</v>
      </c>
    </row>
    <row r="109" spans="1:57" x14ac:dyDescent="0.3">
      <c r="A109" t="s">
        <v>32</v>
      </c>
      <c r="B109">
        <f t="shared" ref="B109:BA109" si="69">+IF(B71&gt;=$BE$73,1,0)</f>
        <v>0</v>
      </c>
      <c r="C109">
        <f t="shared" si="69"/>
        <v>0</v>
      </c>
      <c r="D109">
        <f t="shared" si="69"/>
        <v>0</v>
      </c>
      <c r="E109">
        <f t="shared" si="69"/>
        <v>0</v>
      </c>
      <c r="F109">
        <f t="shared" si="69"/>
        <v>0</v>
      </c>
      <c r="G109">
        <f t="shared" si="69"/>
        <v>0</v>
      </c>
      <c r="H109">
        <f t="shared" si="69"/>
        <v>0</v>
      </c>
      <c r="I109">
        <f t="shared" si="69"/>
        <v>0</v>
      </c>
      <c r="J109">
        <f t="shared" si="69"/>
        <v>0</v>
      </c>
      <c r="K109">
        <f t="shared" si="69"/>
        <v>0</v>
      </c>
      <c r="L109">
        <f t="shared" si="69"/>
        <v>0</v>
      </c>
      <c r="M109">
        <f t="shared" si="69"/>
        <v>0</v>
      </c>
      <c r="N109">
        <f t="shared" si="69"/>
        <v>0</v>
      </c>
      <c r="O109">
        <f t="shared" si="69"/>
        <v>0</v>
      </c>
      <c r="P109">
        <f t="shared" si="69"/>
        <v>0</v>
      </c>
      <c r="Q109">
        <f t="shared" si="69"/>
        <v>0</v>
      </c>
      <c r="R109">
        <f t="shared" si="69"/>
        <v>0</v>
      </c>
      <c r="S109">
        <f t="shared" si="69"/>
        <v>0</v>
      </c>
      <c r="T109">
        <f t="shared" si="69"/>
        <v>0</v>
      </c>
      <c r="U109">
        <f t="shared" si="69"/>
        <v>0</v>
      </c>
      <c r="V109">
        <f t="shared" si="69"/>
        <v>0</v>
      </c>
      <c r="W109">
        <f t="shared" si="69"/>
        <v>0</v>
      </c>
      <c r="X109">
        <f t="shared" si="69"/>
        <v>0</v>
      </c>
      <c r="Y109">
        <f t="shared" si="69"/>
        <v>0</v>
      </c>
      <c r="Z109">
        <f t="shared" si="69"/>
        <v>0</v>
      </c>
      <c r="AA109">
        <f t="shared" si="69"/>
        <v>0</v>
      </c>
      <c r="AB109">
        <f t="shared" si="69"/>
        <v>0</v>
      </c>
      <c r="AC109">
        <f t="shared" si="69"/>
        <v>0</v>
      </c>
      <c r="AD109">
        <f t="shared" si="69"/>
        <v>0</v>
      </c>
      <c r="AE109">
        <f t="shared" si="69"/>
        <v>0</v>
      </c>
      <c r="AF109">
        <f t="shared" si="69"/>
        <v>0</v>
      </c>
      <c r="AG109">
        <f t="shared" si="69"/>
        <v>0</v>
      </c>
      <c r="AH109">
        <f t="shared" si="69"/>
        <v>0</v>
      </c>
      <c r="AI109">
        <f t="shared" si="69"/>
        <v>0</v>
      </c>
      <c r="AJ109">
        <f t="shared" si="69"/>
        <v>0</v>
      </c>
      <c r="AK109">
        <f t="shared" si="69"/>
        <v>0</v>
      </c>
      <c r="AL109">
        <f t="shared" si="69"/>
        <v>0</v>
      </c>
      <c r="AM109">
        <f t="shared" si="69"/>
        <v>0</v>
      </c>
      <c r="AN109">
        <f t="shared" si="69"/>
        <v>0</v>
      </c>
      <c r="AO109">
        <f t="shared" si="69"/>
        <v>0</v>
      </c>
      <c r="AP109">
        <f t="shared" si="69"/>
        <v>0</v>
      </c>
      <c r="AQ109">
        <f t="shared" si="69"/>
        <v>0</v>
      </c>
      <c r="AR109">
        <f t="shared" si="69"/>
        <v>0</v>
      </c>
      <c r="AS109">
        <f t="shared" si="69"/>
        <v>0</v>
      </c>
      <c r="AT109">
        <f t="shared" si="69"/>
        <v>1</v>
      </c>
      <c r="AU109">
        <f t="shared" si="69"/>
        <v>1</v>
      </c>
      <c r="AV109">
        <f t="shared" si="69"/>
        <v>1</v>
      </c>
      <c r="AW109">
        <f t="shared" si="69"/>
        <v>1</v>
      </c>
      <c r="AX109">
        <f t="shared" si="69"/>
        <v>1</v>
      </c>
      <c r="AY109">
        <f t="shared" si="69"/>
        <v>1</v>
      </c>
      <c r="AZ109">
        <f t="shared" si="69"/>
        <v>1</v>
      </c>
      <c r="BA109">
        <f t="shared" si="69"/>
        <v>0</v>
      </c>
      <c r="BC109" t="s">
        <v>32</v>
      </c>
      <c r="BD109">
        <f t="shared" si="38"/>
        <v>7</v>
      </c>
      <c r="BE109">
        <f t="shared" si="39"/>
        <v>1</v>
      </c>
    </row>
    <row r="110" spans="1:57" x14ac:dyDescent="0.3">
      <c r="A110" t="s">
        <v>33</v>
      </c>
      <c r="B110">
        <f t="shared" ref="B110:BA110" si="70">+IF(B72&gt;=$BE$73,1,0)</f>
        <v>0</v>
      </c>
      <c r="C110">
        <f t="shared" si="70"/>
        <v>0</v>
      </c>
      <c r="D110">
        <f t="shared" si="70"/>
        <v>0</v>
      </c>
      <c r="E110">
        <f t="shared" si="70"/>
        <v>0</v>
      </c>
      <c r="F110">
        <f t="shared" si="70"/>
        <v>0</v>
      </c>
      <c r="G110">
        <f t="shared" si="70"/>
        <v>0</v>
      </c>
      <c r="H110">
        <f t="shared" si="70"/>
        <v>0</v>
      </c>
      <c r="I110">
        <f t="shared" si="70"/>
        <v>0</v>
      </c>
      <c r="J110">
        <f t="shared" si="70"/>
        <v>0</v>
      </c>
      <c r="K110">
        <f t="shared" si="70"/>
        <v>0</v>
      </c>
      <c r="L110">
        <f t="shared" si="70"/>
        <v>0</v>
      </c>
      <c r="M110">
        <f t="shared" si="70"/>
        <v>0</v>
      </c>
      <c r="N110">
        <f t="shared" si="70"/>
        <v>0</v>
      </c>
      <c r="O110">
        <f t="shared" si="70"/>
        <v>0</v>
      </c>
      <c r="P110">
        <f t="shared" si="70"/>
        <v>0</v>
      </c>
      <c r="Q110">
        <f t="shared" si="70"/>
        <v>0</v>
      </c>
      <c r="R110">
        <f t="shared" si="70"/>
        <v>0</v>
      </c>
      <c r="S110">
        <f t="shared" si="70"/>
        <v>0</v>
      </c>
      <c r="T110">
        <f t="shared" si="70"/>
        <v>0</v>
      </c>
      <c r="U110">
        <f t="shared" si="70"/>
        <v>0</v>
      </c>
      <c r="V110">
        <f t="shared" si="70"/>
        <v>0</v>
      </c>
      <c r="W110">
        <f t="shared" si="70"/>
        <v>0</v>
      </c>
      <c r="X110">
        <f t="shared" si="70"/>
        <v>0</v>
      </c>
      <c r="Y110">
        <f t="shared" si="70"/>
        <v>0</v>
      </c>
      <c r="Z110">
        <f t="shared" si="70"/>
        <v>0</v>
      </c>
      <c r="AA110">
        <f t="shared" si="70"/>
        <v>0</v>
      </c>
      <c r="AB110">
        <f t="shared" si="70"/>
        <v>0</v>
      </c>
      <c r="AC110">
        <f t="shared" si="70"/>
        <v>0</v>
      </c>
      <c r="AD110">
        <f t="shared" si="70"/>
        <v>0</v>
      </c>
      <c r="AE110">
        <f t="shared" si="70"/>
        <v>0</v>
      </c>
      <c r="AF110">
        <f t="shared" si="70"/>
        <v>0</v>
      </c>
      <c r="AG110">
        <f t="shared" si="70"/>
        <v>0</v>
      </c>
      <c r="AH110">
        <f t="shared" si="70"/>
        <v>0</v>
      </c>
      <c r="AI110">
        <f t="shared" si="70"/>
        <v>0</v>
      </c>
      <c r="AJ110">
        <f t="shared" si="70"/>
        <v>0</v>
      </c>
      <c r="AK110">
        <f t="shared" si="70"/>
        <v>0</v>
      </c>
      <c r="AL110">
        <f t="shared" si="70"/>
        <v>0</v>
      </c>
      <c r="AM110">
        <f t="shared" si="70"/>
        <v>0</v>
      </c>
      <c r="AN110">
        <f t="shared" si="70"/>
        <v>0</v>
      </c>
      <c r="AO110">
        <f t="shared" si="70"/>
        <v>0</v>
      </c>
      <c r="AP110">
        <f t="shared" si="70"/>
        <v>0</v>
      </c>
      <c r="AQ110">
        <f t="shared" si="70"/>
        <v>0</v>
      </c>
      <c r="AR110">
        <f t="shared" si="70"/>
        <v>0</v>
      </c>
      <c r="AS110">
        <f t="shared" si="70"/>
        <v>0</v>
      </c>
      <c r="AT110">
        <f t="shared" si="70"/>
        <v>0</v>
      </c>
      <c r="AU110">
        <f t="shared" si="70"/>
        <v>1</v>
      </c>
      <c r="AV110">
        <f t="shared" si="70"/>
        <v>1</v>
      </c>
      <c r="AW110">
        <f t="shared" si="70"/>
        <v>1</v>
      </c>
      <c r="AX110">
        <f t="shared" si="70"/>
        <v>1</v>
      </c>
      <c r="AY110">
        <f t="shared" si="70"/>
        <v>1</v>
      </c>
      <c r="AZ110">
        <f t="shared" si="70"/>
        <v>1</v>
      </c>
      <c r="BA110">
        <f t="shared" si="70"/>
        <v>1</v>
      </c>
      <c r="BC110" t="s">
        <v>33</v>
      </c>
      <c r="BD110">
        <f t="shared" si="38"/>
        <v>7</v>
      </c>
      <c r="BE110">
        <f t="shared" si="39"/>
        <v>1</v>
      </c>
    </row>
    <row r="111" spans="1:57" x14ac:dyDescent="0.3">
      <c r="A111" t="s">
        <v>34</v>
      </c>
      <c r="B111">
        <f t="shared" ref="B111:BA111" si="71">+IF(B73&gt;=$BE$73,1,0)</f>
        <v>0</v>
      </c>
      <c r="C111">
        <f t="shared" si="71"/>
        <v>0</v>
      </c>
      <c r="D111">
        <f t="shared" si="71"/>
        <v>0</v>
      </c>
      <c r="E111">
        <f t="shared" si="71"/>
        <v>0</v>
      </c>
      <c r="F111">
        <f t="shared" si="71"/>
        <v>0</v>
      </c>
      <c r="G111">
        <f t="shared" si="71"/>
        <v>0</v>
      </c>
      <c r="H111">
        <f t="shared" si="71"/>
        <v>0</v>
      </c>
      <c r="I111">
        <f t="shared" si="71"/>
        <v>0</v>
      </c>
      <c r="J111">
        <f t="shared" si="71"/>
        <v>0</v>
      </c>
      <c r="K111">
        <f t="shared" si="71"/>
        <v>0</v>
      </c>
      <c r="L111">
        <f t="shared" si="71"/>
        <v>0</v>
      </c>
      <c r="M111">
        <f t="shared" si="71"/>
        <v>0</v>
      </c>
      <c r="N111">
        <f t="shared" si="71"/>
        <v>0</v>
      </c>
      <c r="O111">
        <f t="shared" si="71"/>
        <v>0</v>
      </c>
      <c r="P111">
        <f t="shared" si="71"/>
        <v>0</v>
      </c>
      <c r="Q111">
        <f t="shared" si="71"/>
        <v>0</v>
      </c>
      <c r="R111">
        <f t="shared" si="71"/>
        <v>0</v>
      </c>
      <c r="S111">
        <f t="shared" si="71"/>
        <v>0</v>
      </c>
      <c r="T111">
        <f t="shared" si="71"/>
        <v>0</v>
      </c>
      <c r="U111">
        <f t="shared" si="71"/>
        <v>0</v>
      </c>
      <c r="V111">
        <f t="shared" si="71"/>
        <v>0</v>
      </c>
      <c r="W111">
        <f t="shared" si="71"/>
        <v>0</v>
      </c>
      <c r="X111">
        <f t="shared" si="71"/>
        <v>0</v>
      </c>
      <c r="Y111">
        <f t="shared" si="71"/>
        <v>0</v>
      </c>
      <c r="Z111">
        <f t="shared" si="71"/>
        <v>0</v>
      </c>
      <c r="AA111">
        <f t="shared" si="71"/>
        <v>0</v>
      </c>
      <c r="AB111">
        <f t="shared" si="71"/>
        <v>0</v>
      </c>
      <c r="AC111">
        <f t="shared" si="71"/>
        <v>0</v>
      </c>
      <c r="AD111">
        <f t="shared" si="71"/>
        <v>0</v>
      </c>
      <c r="AE111">
        <f t="shared" si="71"/>
        <v>0</v>
      </c>
      <c r="AF111">
        <f t="shared" si="71"/>
        <v>0</v>
      </c>
      <c r="AG111">
        <f t="shared" si="71"/>
        <v>0</v>
      </c>
      <c r="AH111">
        <f t="shared" si="71"/>
        <v>0</v>
      </c>
      <c r="AI111">
        <f t="shared" si="71"/>
        <v>0</v>
      </c>
      <c r="AJ111">
        <f t="shared" si="71"/>
        <v>0</v>
      </c>
      <c r="AK111">
        <f t="shared" si="71"/>
        <v>0</v>
      </c>
      <c r="AL111">
        <f t="shared" si="71"/>
        <v>0</v>
      </c>
      <c r="AM111">
        <f t="shared" si="71"/>
        <v>0</v>
      </c>
      <c r="AN111">
        <f t="shared" si="71"/>
        <v>0</v>
      </c>
      <c r="AO111">
        <f t="shared" si="71"/>
        <v>0</v>
      </c>
      <c r="AP111">
        <f t="shared" si="71"/>
        <v>0</v>
      </c>
      <c r="AQ111">
        <f t="shared" si="71"/>
        <v>0</v>
      </c>
      <c r="AR111">
        <f t="shared" si="71"/>
        <v>0</v>
      </c>
      <c r="AS111">
        <f t="shared" si="71"/>
        <v>0</v>
      </c>
      <c r="AT111">
        <f t="shared" si="71"/>
        <v>0</v>
      </c>
      <c r="AU111">
        <f t="shared" si="71"/>
        <v>0</v>
      </c>
      <c r="AV111">
        <f t="shared" si="71"/>
        <v>0</v>
      </c>
      <c r="AW111">
        <f t="shared" si="71"/>
        <v>0</v>
      </c>
      <c r="AX111">
        <f t="shared" si="71"/>
        <v>0</v>
      </c>
      <c r="AY111">
        <f t="shared" si="71"/>
        <v>0</v>
      </c>
      <c r="AZ111">
        <f t="shared" si="71"/>
        <v>0</v>
      </c>
      <c r="BA111">
        <f t="shared" si="71"/>
        <v>0</v>
      </c>
      <c r="BC111" t="s">
        <v>34</v>
      </c>
      <c r="BD111">
        <f t="shared" si="38"/>
        <v>0</v>
      </c>
      <c r="BE111">
        <f t="shared" si="39"/>
        <v>0</v>
      </c>
    </row>
    <row r="112" spans="1:57" x14ac:dyDescent="0.3">
      <c r="A112" t="s">
        <v>35</v>
      </c>
      <c r="B112">
        <f t="shared" ref="B112:BA112" si="72">+IF(B74&gt;=$BE$73,1,0)</f>
        <v>0</v>
      </c>
      <c r="C112">
        <f t="shared" si="72"/>
        <v>0</v>
      </c>
      <c r="D112">
        <f t="shared" si="72"/>
        <v>0</v>
      </c>
      <c r="E112">
        <f t="shared" si="72"/>
        <v>0</v>
      </c>
      <c r="F112">
        <f t="shared" si="72"/>
        <v>0</v>
      </c>
      <c r="G112">
        <f t="shared" si="72"/>
        <v>0</v>
      </c>
      <c r="H112">
        <f t="shared" si="72"/>
        <v>0</v>
      </c>
      <c r="I112">
        <f t="shared" si="72"/>
        <v>0</v>
      </c>
      <c r="J112">
        <f t="shared" si="72"/>
        <v>0</v>
      </c>
      <c r="K112">
        <f t="shared" si="72"/>
        <v>0</v>
      </c>
      <c r="L112">
        <f t="shared" si="72"/>
        <v>0</v>
      </c>
      <c r="M112">
        <f t="shared" si="72"/>
        <v>0</v>
      </c>
      <c r="N112">
        <f t="shared" si="72"/>
        <v>0</v>
      </c>
      <c r="O112">
        <f t="shared" si="72"/>
        <v>0</v>
      </c>
      <c r="P112">
        <f t="shared" si="72"/>
        <v>0</v>
      </c>
      <c r="Q112">
        <f t="shared" si="72"/>
        <v>0</v>
      </c>
      <c r="R112">
        <f t="shared" si="72"/>
        <v>0</v>
      </c>
      <c r="S112">
        <f t="shared" si="72"/>
        <v>0</v>
      </c>
      <c r="T112">
        <f t="shared" si="72"/>
        <v>0</v>
      </c>
      <c r="U112">
        <f t="shared" si="72"/>
        <v>0</v>
      </c>
      <c r="V112">
        <f t="shared" si="72"/>
        <v>0</v>
      </c>
      <c r="W112">
        <f t="shared" si="72"/>
        <v>0</v>
      </c>
      <c r="X112">
        <f t="shared" si="72"/>
        <v>0</v>
      </c>
      <c r="Y112">
        <f t="shared" si="72"/>
        <v>0</v>
      </c>
      <c r="Z112">
        <f t="shared" si="72"/>
        <v>0</v>
      </c>
      <c r="AA112">
        <f t="shared" si="72"/>
        <v>0</v>
      </c>
      <c r="AB112">
        <f t="shared" si="72"/>
        <v>0</v>
      </c>
      <c r="AC112">
        <f t="shared" si="72"/>
        <v>0</v>
      </c>
      <c r="AD112">
        <f t="shared" si="72"/>
        <v>0</v>
      </c>
      <c r="AE112">
        <f t="shared" si="72"/>
        <v>0</v>
      </c>
      <c r="AF112">
        <f t="shared" si="72"/>
        <v>0</v>
      </c>
      <c r="AG112">
        <f t="shared" si="72"/>
        <v>0</v>
      </c>
      <c r="AH112">
        <f t="shared" si="72"/>
        <v>0</v>
      </c>
      <c r="AI112">
        <f t="shared" si="72"/>
        <v>0</v>
      </c>
      <c r="AJ112">
        <f t="shared" si="72"/>
        <v>0</v>
      </c>
      <c r="AK112">
        <f t="shared" si="72"/>
        <v>0</v>
      </c>
      <c r="AL112">
        <f t="shared" si="72"/>
        <v>0</v>
      </c>
      <c r="AM112">
        <f t="shared" si="72"/>
        <v>0</v>
      </c>
      <c r="AN112">
        <f t="shared" si="72"/>
        <v>0</v>
      </c>
      <c r="AO112">
        <f t="shared" si="72"/>
        <v>0</v>
      </c>
      <c r="AP112">
        <f t="shared" si="72"/>
        <v>0</v>
      </c>
      <c r="AQ112">
        <f t="shared" si="72"/>
        <v>0</v>
      </c>
      <c r="AR112">
        <f t="shared" si="72"/>
        <v>0</v>
      </c>
      <c r="AS112">
        <f t="shared" si="72"/>
        <v>0</v>
      </c>
      <c r="AT112">
        <f t="shared" si="72"/>
        <v>0</v>
      </c>
      <c r="AU112">
        <f t="shared" si="72"/>
        <v>0</v>
      </c>
      <c r="AV112">
        <f t="shared" si="72"/>
        <v>0</v>
      </c>
      <c r="AW112">
        <f t="shared" si="72"/>
        <v>0</v>
      </c>
      <c r="AX112">
        <f t="shared" si="72"/>
        <v>0</v>
      </c>
      <c r="AY112">
        <f t="shared" si="72"/>
        <v>0</v>
      </c>
      <c r="AZ112">
        <f t="shared" si="72"/>
        <v>0</v>
      </c>
      <c r="BA112">
        <f t="shared" si="72"/>
        <v>0</v>
      </c>
      <c r="BC112" t="s">
        <v>35</v>
      </c>
      <c r="BD112">
        <f t="shared" si="38"/>
        <v>0</v>
      </c>
      <c r="BE112">
        <f t="shared" si="39"/>
        <v>0</v>
      </c>
    </row>
    <row r="113" spans="1:57" x14ac:dyDescent="0.3">
      <c r="A113" t="s">
        <v>36</v>
      </c>
      <c r="B113">
        <f t="shared" ref="B113:BA113" si="73">+IF(B75&gt;=$BE$73,1,0)</f>
        <v>0</v>
      </c>
      <c r="C113">
        <f t="shared" si="73"/>
        <v>0</v>
      </c>
      <c r="D113">
        <f t="shared" si="73"/>
        <v>0</v>
      </c>
      <c r="E113">
        <f t="shared" si="73"/>
        <v>0</v>
      </c>
      <c r="F113">
        <f t="shared" si="73"/>
        <v>0</v>
      </c>
      <c r="G113">
        <f t="shared" si="73"/>
        <v>0</v>
      </c>
      <c r="H113">
        <f t="shared" si="73"/>
        <v>0</v>
      </c>
      <c r="I113">
        <f t="shared" si="73"/>
        <v>0</v>
      </c>
      <c r="J113">
        <f t="shared" si="73"/>
        <v>0</v>
      </c>
      <c r="K113">
        <f t="shared" si="73"/>
        <v>0</v>
      </c>
      <c r="L113">
        <f t="shared" si="73"/>
        <v>0</v>
      </c>
      <c r="M113">
        <f t="shared" si="73"/>
        <v>0</v>
      </c>
      <c r="N113">
        <f t="shared" si="73"/>
        <v>0</v>
      </c>
      <c r="O113">
        <f t="shared" si="73"/>
        <v>0</v>
      </c>
      <c r="P113">
        <f t="shared" si="73"/>
        <v>0</v>
      </c>
      <c r="Q113">
        <f t="shared" si="73"/>
        <v>0</v>
      </c>
      <c r="R113">
        <f t="shared" si="73"/>
        <v>0</v>
      </c>
      <c r="S113">
        <f t="shared" si="73"/>
        <v>0</v>
      </c>
      <c r="T113">
        <f t="shared" si="73"/>
        <v>0</v>
      </c>
      <c r="U113">
        <f t="shared" si="73"/>
        <v>0</v>
      </c>
      <c r="V113">
        <f t="shared" si="73"/>
        <v>0</v>
      </c>
      <c r="W113">
        <f t="shared" si="73"/>
        <v>0</v>
      </c>
      <c r="X113">
        <f t="shared" si="73"/>
        <v>0</v>
      </c>
      <c r="Y113">
        <f t="shared" si="73"/>
        <v>0</v>
      </c>
      <c r="Z113">
        <f t="shared" si="73"/>
        <v>0</v>
      </c>
      <c r="AA113">
        <f t="shared" si="73"/>
        <v>0</v>
      </c>
      <c r="AB113">
        <f t="shared" si="73"/>
        <v>0</v>
      </c>
      <c r="AC113">
        <f t="shared" si="73"/>
        <v>0</v>
      </c>
      <c r="AD113">
        <f t="shared" si="73"/>
        <v>0</v>
      </c>
      <c r="AE113">
        <f t="shared" si="73"/>
        <v>0</v>
      </c>
      <c r="AF113">
        <f t="shared" si="73"/>
        <v>0</v>
      </c>
      <c r="AG113">
        <f t="shared" si="73"/>
        <v>0</v>
      </c>
      <c r="AH113">
        <f t="shared" si="73"/>
        <v>0</v>
      </c>
      <c r="AI113">
        <f t="shared" si="73"/>
        <v>0</v>
      </c>
      <c r="AJ113">
        <f t="shared" si="73"/>
        <v>0</v>
      </c>
      <c r="AK113">
        <f t="shared" si="73"/>
        <v>0</v>
      </c>
      <c r="AL113">
        <f t="shared" si="73"/>
        <v>0</v>
      </c>
      <c r="AM113">
        <f t="shared" si="73"/>
        <v>0</v>
      </c>
      <c r="AN113">
        <f t="shared" si="73"/>
        <v>0</v>
      </c>
      <c r="AO113">
        <f t="shared" si="73"/>
        <v>0</v>
      </c>
      <c r="AP113">
        <f t="shared" si="73"/>
        <v>0</v>
      </c>
      <c r="AQ113">
        <f t="shared" si="73"/>
        <v>0</v>
      </c>
      <c r="AR113">
        <f t="shared" si="73"/>
        <v>0</v>
      </c>
      <c r="AS113">
        <f t="shared" si="73"/>
        <v>0</v>
      </c>
      <c r="AT113">
        <f t="shared" si="73"/>
        <v>0</v>
      </c>
      <c r="AU113">
        <f t="shared" si="73"/>
        <v>0</v>
      </c>
      <c r="AV113">
        <f t="shared" si="73"/>
        <v>0</v>
      </c>
      <c r="AW113">
        <f t="shared" si="73"/>
        <v>0</v>
      </c>
      <c r="AX113">
        <f t="shared" si="73"/>
        <v>0</v>
      </c>
      <c r="AY113">
        <f t="shared" si="73"/>
        <v>0</v>
      </c>
      <c r="AZ113">
        <f t="shared" si="73"/>
        <v>0</v>
      </c>
      <c r="BA113">
        <f t="shared" si="73"/>
        <v>0</v>
      </c>
      <c r="BC113" t="s">
        <v>36</v>
      </c>
      <c r="BD113">
        <f t="shared" si="38"/>
        <v>0</v>
      </c>
      <c r="BE113">
        <f t="shared" si="39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152A6-C17A-40BD-883F-C684D79F7E1E}">
  <sheetPr filterMode="1"/>
  <dimension ref="A1:B37"/>
  <sheetViews>
    <sheetView workbookViewId="0">
      <selection activeCell="G21" sqref="G21"/>
    </sheetView>
  </sheetViews>
  <sheetFormatPr baseColWidth="10" defaultRowHeight="14.4" x14ac:dyDescent="0.3"/>
  <cols>
    <col min="2" max="2" width="13" style="1" bestFit="1" customWidth="1"/>
  </cols>
  <sheetData>
    <row r="1" spans="1:2" x14ac:dyDescent="0.3">
      <c r="A1" t="s">
        <v>0</v>
      </c>
      <c r="B1" s="1" t="s">
        <v>38</v>
      </c>
    </row>
    <row r="2" spans="1:2" x14ac:dyDescent="0.3">
      <c r="A2" t="s">
        <v>1</v>
      </c>
      <c r="B2" s="1">
        <v>1</v>
      </c>
    </row>
    <row r="3" spans="1:2" x14ac:dyDescent="0.3">
      <c r="A3" t="s">
        <v>2</v>
      </c>
      <c r="B3" s="1">
        <v>1</v>
      </c>
    </row>
    <row r="4" spans="1:2" hidden="1" x14ac:dyDescent="0.3">
      <c r="A4" t="s">
        <v>3</v>
      </c>
      <c r="B4" s="1">
        <v>0</v>
      </c>
    </row>
    <row r="5" spans="1:2" hidden="1" x14ac:dyDescent="0.3">
      <c r="A5" t="s">
        <v>4</v>
      </c>
      <c r="B5" s="1">
        <v>0</v>
      </c>
    </row>
    <row r="6" spans="1:2" x14ac:dyDescent="0.3">
      <c r="A6" t="s">
        <v>5</v>
      </c>
      <c r="B6" s="1">
        <v>1</v>
      </c>
    </row>
    <row r="7" spans="1:2" x14ac:dyDescent="0.3">
      <c r="A7" t="s">
        <v>6</v>
      </c>
      <c r="B7" s="1">
        <v>1</v>
      </c>
    </row>
    <row r="8" spans="1:2" hidden="1" x14ac:dyDescent="0.3">
      <c r="A8" t="s">
        <v>7</v>
      </c>
      <c r="B8" s="1">
        <v>0</v>
      </c>
    </row>
    <row r="9" spans="1:2" hidden="1" x14ac:dyDescent="0.3">
      <c r="A9" t="s">
        <v>8</v>
      </c>
      <c r="B9" s="1">
        <v>0</v>
      </c>
    </row>
    <row r="10" spans="1:2" x14ac:dyDescent="0.3">
      <c r="A10" t="s">
        <v>9</v>
      </c>
      <c r="B10" s="1">
        <v>1</v>
      </c>
    </row>
    <row r="11" spans="1:2" x14ac:dyDescent="0.3">
      <c r="A11" t="s">
        <v>10</v>
      </c>
      <c r="B11" s="1">
        <v>1</v>
      </c>
    </row>
    <row r="12" spans="1:2" x14ac:dyDescent="0.3">
      <c r="A12" t="s">
        <v>11</v>
      </c>
      <c r="B12" s="1">
        <v>1</v>
      </c>
    </row>
    <row r="13" spans="1:2" hidden="1" x14ac:dyDescent="0.3">
      <c r="A13" t="s">
        <v>12</v>
      </c>
      <c r="B13" s="1">
        <v>0</v>
      </c>
    </row>
    <row r="14" spans="1:2" hidden="1" x14ac:dyDescent="0.3">
      <c r="A14" t="s">
        <v>13</v>
      </c>
      <c r="B14" s="1">
        <v>0</v>
      </c>
    </row>
    <row r="15" spans="1:2" x14ac:dyDescent="0.3">
      <c r="A15" t="s">
        <v>14</v>
      </c>
      <c r="B15" s="1">
        <v>1</v>
      </c>
    </row>
    <row r="16" spans="1:2" x14ac:dyDescent="0.3">
      <c r="A16" t="s">
        <v>15</v>
      </c>
      <c r="B16" s="1">
        <v>1</v>
      </c>
    </row>
    <row r="17" spans="1:2" hidden="1" x14ac:dyDescent="0.3">
      <c r="A17" t="s">
        <v>16</v>
      </c>
      <c r="B17" s="1">
        <v>0</v>
      </c>
    </row>
    <row r="18" spans="1:2" hidden="1" x14ac:dyDescent="0.3">
      <c r="A18" t="s">
        <v>17</v>
      </c>
      <c r="B18" s="1">
        <v>0</v>
      </c>
    </row>
    <row r="19" spans="1:2" hidden="1" x14ac:dyDescent="0.3">
      <c r="A19" t="s">
        <v>18</v>
      </c>
      <c r="B19" s="1">
        <v>0</v>
      </c>
    </row>
    <row r="20" spans="1:2" hidden="1" x14ac:dyDescent="0.3">
      <c r="A20" t="s">
        <v>19</v>
      </c>
      <c r="B20" s="1">
        <v>0</v>
      </c>
    </row>
    <row r="21" spans="1:2" x14ac:dyDescent="0.3">
      <c r="A21" t="s">
        <v>20</v>
      </c>
      <c r="B21" s="1">
        <v>1</v>
      </c>
    </row>
    <row r="22" spans="1:2" x14ac:dyDescent="0.3">
      <c r="A22" t="s">
        <v>21</v>
      </c>
      <c r="B22" s="1">
        <v>1</v>
      </c>
    </row>
    <row r="23" spans="1:2" hidden="1" x14ac:dyDescent="0.3">
      <c r="A23" t="s">
        <v>22</v>
      </c>
      <c r="B23" s="1">
        <v>0</v>
      </c>
    </row>
    <row r="24" spans="1:2" hidden="1" x14ac:dyDescent="0.3">
      <c r="A24" t="s">
        <v>23</v>
      </c>
      <c r="B24" s="1">
        <v>0</v>
      </c>
    </row>
    <row r="25" spans="1:2" hidden="1" x14ac:dyDescent="0.3">
      <c r="A25" t="s">
        <v>24</v>
      </c>
      <c r="B25" s="1">
        <v>0</v>
      </c>
    </row>
    <row r="26" spans="1:2" x14ac:dyDescent="0.3">
      <c r="A26" t="s">
        <v>25</v>
      </c>
      <c r="B26" s="1">
        <v>1</v>
      </c>
    </row>
    <row r="27" spans="1:2" hidden="1" x14ac:dyDescent="0.3">
      <c r="A27" t="s">
        <v>26</v>
      </c>
      <c r="B27" s="1">
        <v>0</v>
      </c>
    </row>
    <row r="28" spans="1:2" hidden="1" x14ac:dyDescent="0.3">
      <c r="A28" t="s">
        <v>27</v>
      </c>
      <c r="B28" s="1">
        <v>0</v>
      </c>
    </row>
    <row r="29" spans="1:2" x14ac:dyDescent="0.3">
      <c r="A29" t="s">
        <v>28</v>
      </c>
      <c r="B29" s="1">
        <v>1</v>
      </c>
    </row>
    <row r="30" spans="1:2" hidden="1" x14ac:dyDescent="0.3">
      <c r="A30" t="s">
        <v>29</v>
      </c>
      <c r="B30" s="1">
        <v>0</v>
      </c>
    </row>
    <row r="31" spans="1:2" hidden="1" x14ac:dyDescent="0.3">
      <c r="A31" t="s">
        <v>30</v>
      </c>
      <c r="B31" s="1">
        <v>0</v>
      </c>
    </row>
    <row r="32" spans="1:2" hidden="1" x14ac:dyDescent="0.3">
      <c r="A32" t="s">
        <v>31</v>
      </c>
      <c r="B32" s="1">
        <v>0</v>
      </c>
    </row>
    <row r="33" spans="1:2" x14ac:dyDescent="0.3">
      <c r="A33" t="s">
        <v>32</v>
      </c>
      <c r="B33" s="1">
        <v>1</v>
      </c>
    </row>
    <row r="34" spans="1:2" x14ac:dyDescent="0.3">
      <c r="A34" t="s">
        <v>33</v>
      </c>
      <c r="B34" s="1">
        <v>1</v>
      </c>
    </row>
    <row r="35" spans="1:2" hidden="1" x14ac:dyDescent="0.3">
      <c r="A35" t="s">
        <v>34</v>
      </c>
      <c r="B35" s="1">
        <v>0</v>
      </c>
    </row>
    <row r="36" spans="1:2" hidden="1" x14ac:dyDescent="0.3">
      <c r="A36" t="s">
        <v>35</v>
      </c>
      <c r="B36" s="1">
        <v>0</v>
      </c>
    </row>
    <row r="37" spans="1:2" hidden="1" x14ac:dyDescent="0.3">
      <c r="A37" t="s">
        <v>36</v>
      </c>
      <c r="B37" s="1">
        <v>0</v>
      </c>
    </row>
  </sheetData>
  <autoFilter ref="A1:B37" xr:uid="{89F152A6-C17A-40BD-883F-C684D79F7E1E}">
    <filterColumn colId="1">
      <filters>
        <filter val="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srcc_espacial_carbonaceous_bod_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Torres</dc:creator>
  <cp:lastModifiedBy>Sergio Torres</cp:lastModifiedBy>
  <dcterms:created xsi:type="dcterms:W3CDTF">2026-04-16T20:15:34Z</dcterms:created>
  <dcterms:modified xsi:type="dcterms:W3CDTF">2026-09-15T14:53:58Z</dcterms:modified>
</cp:coreProperties>
</file>